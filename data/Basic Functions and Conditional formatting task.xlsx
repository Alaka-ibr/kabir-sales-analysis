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Assignments\data\"/>
    </mc:Choice>
  </mc:AlternateContent>
  <xr:revisionPtr revIDLastSave="0" documentId="13_ncr:1_{7DBF27CA-AADF-40B1-930D-4E977CF068F2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Data" sheetId="1" r:id="rId1"/>
    <sheet name=" quantity sold by years" sheetId="7" r:id="rId2"/>
    <sheet name="Sum of sales by years" sheetId="4" r:id="rId3"/>
    <sheet name="Functions" sheetId="6" r:id="rId4"/>
    <sheet name="Finacial contribution" sheetId="5" r:id="rId5"/>
    <sheet name="representative activity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4" l="1"/>
  <c r="I4" i="4"/>
  <c r="M12" i="7"/>
  <c r="M11" i="7"/>
  <c r="M10" i="7"/>
  <c r="M9" i="7"/>
  <c r="L9" i="7"/>
  <c r="L10" i="7"/>
  <c r="L11" i="7"/>
  <c r="L12" i="7"/>
  <c r="M8" i="7"/>
  <c r="L8" i="7"/>
  <c r="K12" i="7"/>
  <c r="K11" i="7"/>
  <c r="K10" i="7"/>
  <c r="K9" i="7"/>
  <c r="K8" i="7"/>
  <c r="K15" i="5"/>
  <c r="K14" i="5"/>
  <c r="K13" i="5"/>
  <c r="L11" i="5"/>
  <c r="L15" i="5"/>
  <c r="L14" i="5"/>
  <c r="L13" i="5"/>
  <c r="L12" i="5"/>
  <c r="K12" i="5"/>
  <c r="L12" i="9"/>
  <c r="L11" i="9"/>
  <c r="L10" i="9"/>
  <c r="L9" i="9"/>
  <c r="L8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K11" i="5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J16" i="6"/>
  <c r="I16" i="6"/>
  <c r="J15" i="6"/>
  <c r="I15" i="6"/>
  <c r="J14" i="6"/>
  <c r="I14" i="6"/>
  <c r="J13" i="6"/>
  <c r="I13" i="6"/>
  <c r="J12" i="6"/>
  <c r="I12" i="6"/>
  <c r="J11" i="6"/>
  <c r="I11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K4" i="4"/>
  <c r="I9" i="4"/>
  <c r="I8" i="4"/>
  <c r="K9" i="4"/>
  <c r="K8" i="4"/>
  <c r="K7" i="4"/>
  <c r="K6" i="4"/>
  <c r="J9" i="4"/>
  <c r="J8" i="4"/>
  <c r="J7" i="4"/>
  <c r="J6" i="4"/>
  <c r="I7" i="4"/>
  <c r="I6" i="4"/>
  <c r="K5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J5" i="4"/>
  <c r="I5" i="4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H9" i="4"/>
  <c r="H5" i="4"/>
  <c r="H6" i="4"/>
  <c r="H7" i="4"/>
  <c r="H8" i="4"/>
</calcChain>
</file>

<file path=xl/sharedStrings.xml><?xml version="1.0" encoding="utf-8"?>
<sst xmlns="http://schemas.openxmlformats.org/spreadsheetml/2006/main" count="261" uniqueCount="26">
  <si>
    <t>Yearly Sales Report</t>
  </si>
  <si>
    <t>S/N</t>
  </si>
  <si>
    <t>Date</t>
  </si>
  <si>
    <t>Year</t>
  </si>
  <si>
    <t>Sales Rep</t>
  </si>
  <si>
    <t>Quantity Sold</t>
  </si>
  <si>
    <t>Amount</t>
  </si>
  <si>
    <t>Ayo</t>
  </si>
  <si>
    <t>FUNCTIONS</t>
  </si>
  <si>
    <t>Condition</t>
  </si>
  <si>
    <t>Quantity</t>
  </si>
  <si>
    <t>Tola</t>
  </si>
  <si>
    <t>COUNTIF</t>
  </si>
  <si>
    <t>Abdul</t>
  </si>
  <si>
    <t>SUM</t>
  </si>
  <si>
    <t>Ada</t>
  </si>
  <si>
    <t>MINIMUM</t>
  </si>
  <si>
    <t>MAXIMUM</t>
  </si>
  <si>
    <t>Ese</t>
  </si>
  <si>
    <t>AVERAGE</t>
  </si>
  <si>
    <t>COUNT</t>
  </si>
  <si>
    <t>COUNTA</t>
  </si>
  <si>
    <t>Quantity Sold by Years</t>
  </si>
  <si>
    <t>SUMIF</t>
  </si>
  <si>
    <t>Sum of Sales by Years</t>
  </si>
  <si>
    <t>sales 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</si>
</sst>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9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  <font>
      <b/>
      <sz val="11"/>
      <color theme="9" tint="-0.249977111117893"/>
      <name val="Calibri"/>
      <family val="2"/>
      <scheme val="minor"/>
    </font>
    <font>
      <b/>
      <sz val="16"/>
      <color theme="9" tint="0.3999755851924192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/>
      <diagonal/>
    </border>
    <border>
      <left style="medium">
        <color theme="9" tint="0.39997558519241921"/>
      </left>
      <right style="thin">
        <color theme="9" tint="0.39997558519241921"/>
      </right>
      <top/>
      <bottom/>
      <diagonal/>
    </border>
    <border>
      <left style="medium">
        <color theme="9" tint="0.39997558519241921"/>
      </left>
      <right style="thin">
        <color theme="9" tint="0.39997558519241921"/>
      </right>
      <top/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/>
      <top style="medium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/>
      <top style="thin">
        <color theme="9" tint="0.39997558519241921"/>
      </top>
      <bottom style="medium">
        <color theme="9" tint="0.3999755851924192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5" fillId="3" borderId="1" xfId="0" applyFont="1" applyFill="1" applyBorder="1"/>
    <xf numFmtId="0" fontId="6" fillId="0" borderId="1" xfId="0" applyFont="1" applyBorder="1"/>
    <xf numFmtId="14" fontId="7" fillId="0" borderId="1" xfId="1" applyNumberFormat="1" applyFont="1" applyFill="1" applyBorder="1"/>
    <xf numFmtId="4" fontId="6" fillId="0" borderId="1" xfId="0" applyNumberFormat="1" applyFont="1" applyBorder="1"/>
    <xf numFmtId="22" fontId="0" fillId="0" borderId="0" xfId="0" applyNumberFormat="1"/>
    <xf numFmtId="14" fontId="0" fillId="0" borderId="0" xfId="0" applyNumberFormat="1"/>
    <xf numFmtId="0" fontId="3" fillId="4" borderId="2" xfId="0" applyFont="1" applyFill="1" applyBorder="1"/>
    <xf numFmtId="0" fontId="3" fillId="4" borderId="3" xfId="0" applyFont="1" applyFill="1" applyBorder="1"/>
    <xf numFmtId="0" fontId="3" fillId="4" borderId="4" xfId="0" applyFont="1" applyFill="1" applyBorder="1"/>
    <xf numFmtId="0" fontId="3" fillId="3" borderId="5" xfId="0" applyFont="1" applyFill="1" applyBorder="1"/>
    <xf numFmtId="0" fontId="3" fillId="3" borderId="1" xfId="0" applyFont="1" applyFill="1" applyBorder="1"/>
    <xf numFmtId="0" fontId="3" fillId="3" borderId="6" xfId="0" applyFont="1" applyFill="1" applyBorder="1"/>
    <xf numFmtId="0" fontId="0" fillId="0" borderId="1" xfId="0" applyBorder="1"/>
    <xf numFmtId="0" fontId="0" fillId="0" borderId="6" xfId="0" applyBorder="1"/>
    <xf numFmtId="0" fontId="0" fillId="0" borderId="5" xfId="0" applyBorder="1"/>
    <xf numFmtId="4" fontId="0" fillId="0" borderId="6" xfId="0" applyNumberForma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4" borderId="16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7" xfId="0" applyBorder="1"/>
    <xf numFmtId="164" fontId="1" fillId="0" borderId="5" xfId="1" applyFont="1" applyFill="1" applyBorder="1" applyAlignment="1"/>
    <xf numFmtId="0" fontId="0" fillId="0" borderId="18" xfId="0" applyBorder="1"/>
    <xf numFmtId="0" fontId="3" fillId="4" borderId="13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9" fontId="1" fillId="0" borderId="5" xfId="1" applyNumberFormat="1" applyFont="1" applyFill="1" applyBorder="1" applyAlignment="1"/>
    <xf numFmtId="0" fontId="9" fillId="0" borderId="0" xfId="0" applyFont="1"/>
    <xf numFmtId="169" fontId="0" fillId="0" borderId="1" xfId="1" applyNumberFormat="1" applyFont="1" applyBorder="1"/>
    <xf numFmtId="0" fontId="8" fillId="0" borderId="0" xfId="0" applyFont="1"/>
  </cellXfs>
  <cellStyles count="2">
    <cellStyle name="Comma" xfId="1" builtinId="3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"/>
  <sheetViews>
    <sheetView tabSelected="1" zoomScale="92" workbookViewId="0">
      <selection activeCell="J19" sqref="J19"/>
    </sheetView>
  </sheetViews>
  <sheetFormatPr defaultRowHeight="14.4" x14ac:dyDescent="0.3"/>
  <cols>
    <col min="2" max="2" width="14.109375" customWidth="1"/>
    <col min="5" max="5" width="26.77734375" customWidth="1"/>
    <col min="6" max="6" width="17.21875" customWidth="1"/>
    <col min="9" max="11" width="9" bestFit="1" customWidth="1"/>
    <col min="15" max="15" width="10.44140625" customWidth="1"/>
    <col min="19" max="21" width="9" bestFit="1" customWidth="1"/>
  </cols>
  <sheetData>
    <row r="1" spans="1:21" ht="24.6" x14ac:dyDescent="0.4">
      <c r="A1" s="30" t="s">
        <v>0</v>
      </c>
      <c r="B1" s="30"/>
      <c r="C1" s="30"/>
      <c r="D1" s="30"/>
      <c r="E1" s="30"/>
      <c r="F1" s="30"/>
    </row>
    <row r="2" spans="1:21" ht="18" thickBo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21" ht="15" thickBot="1" x14ac:dyDescent="0.35">
      <c r="A3" s="2">
        <v>1</v>
      </c>
      <c r="B3" s="3">
        <v>40221</v>
      </c>
      <c r="C3" s="3" t="str">
        <f t="shared" ref="C3:C26" si="0">TEXT(B3,"YYYY")</f>
        <v>2010</v>
      </c>
      <c r="D3" s="2" t="s">
        <v>7</v>
      </c>
      <c r="E3" s="2">
        <v>76</v>
      </c>
      <c r="F3" s="4">
        <v>16720</v>
      </c>
      <c r="G3" s="5"/>
      <c r="I3" s="27" t="s">
        <v>24</v>
      </c>
      <c r="J3" s="28"/>
      <c r="K3" s="29"/>
      <c r="N3" s="7"/>
      <c r="O3" s="8" t="s">
        <v>9</v>
      </c>
      <c r="P3" s="9" t="s">
        <v>10</v>
      </c>
    </row>
    <row r="4" spans="1:21" x14ac:dyDescent="0.3">
      <c r="A4" s="2">
        <v>2</v>
      </c>
      <c r="B4" s="3">
        <v>40235</v>
      </c>
      <c r="C4" s="3" t="str">
        <f t="shared" si="0"/>
        <v>2010</v>
      </c>
      <c r="D4" s="2" t="s">
        <v>11</v>
      </c>
      <c r="E4" s="2">
        <v>59</v>
      </c>
      <c r="F4" s="4">
        <v>12980</v>
      </c>
      <c r="G4" s="6"/>
      <c r="H4" s="20" t="s">
        <v>4</v>
      </c>
      <c r="I4" s="21">
        <v>2010</v>
      </c>
      <c r="J4" s="22">
        <v>2011</v>
      </c>
      <c r="K4" s="23">
        <v>2012</v>
      </c>
      <c r="N4" s="34" t="s">
        <v>12</v>
      </c>
      <c r="O4" s="13" t="s">
        <v>13</v>
      </c>
      <c r="P4" s="14"/>
    </row>
    <row r="5" spans="1:21" x14ac:dyDescent="0.3">
      <c r="A5" s="2">
        <v>3</v>
      </c>
      <c r="B5" s="3">
        <v>40249</v>
      </c>
      <c r="C5" s="3" t="str">
        <f t="shared" si="0"/>
        <v>2010</v>
      </c>
      <c r="D5" s="2" t="s">
        <v>13</v>
      </c>
      <c r="E5" s="2">
        <v>56</v>
      </c>
      <c r="F5" s="4">
        <v>12320</v>
      </c>
      <c r="H5" s="24" t="s">
        <v>13</v>
      </c>
      <c r="I5" s="25"/>
      <c r="J5" s="25"/>
      <c r="K5" s="25"/>
      <c r="N5" s="35"/>
      <c r="O5" s="13" t="s">
        <v>7</v>
      </c>
      <c r="P5" s="14"/>
    </row>
    <row r="6" spans="1:21" x14ac:dyDescent="0.3">
      <c r="A6" s="2">
        <v>4</v>
      </c>
      <c r="B6" s="3">
        <v>40249</v>
      </c>
      <c r="C6" s="3" t="str">
        <f t="shared" si="0"/>
        <v>2010</v>
      </c>
      <c r="D6" s="2" t="s">
        <v>15</v>
      </c>
      <c r="E6" s="2">
        <v>48</v>
      </c>
      <c r="F6" s="4">
        <v>10560</v>
      </c>
      <c r="H6" s="24" t="s">
        <v>7</v>
      </c>
      <c r="I6" s="25"/>
      <c r="J6" s="25"/>
      <c r="K6" s="25"/>
      <c r="N6" s="35"/>
      <c r="O6" s="13" t="s">
        <v>15</v>
      </c>
      <c r="P6" s="14"/>
    </row>
    <row r="7" spans="1:21" x14ac:dyDescent="0.3">
      <c r="A7" s="2">
        <v>5</v>
      </c>
      <c r="B7" s="3">
        <v>40418</v>
      </c>
      <c r="C7" s="3" t="str">
        <f t="shared" si="0"/>
        <v>2010</v>
      </c>
      <c r="D7" s="2" t="s">
        <v>11</v>
      </c>
      <c r="E7" s="2">
        <v>40</v>
      </c>
      <c r="F7" s="4">
        <v>8800</v>
      </c>
      <c r="H7" s="24" t="s">
        <v>15</v>
      </c>
      <c r="I7" s="25"/>
      <c r="J7" s="25"/>
      <c r="K7" s="25"/>
      <c r="N7" s="35"/>
      <c r="O7" s="13" t="s">
        <v>18</v>
      </c>
      <c r="P7" s="14"/>
    </row>
    <row r="8" spans="1:21" ht="15" thickBot="1" x14ac:dyDescent="0.35">
      <c r="A8" s="2">
        <v>6</v>
      </c>
      <c r="B8" s="3">
        <v>40418</v>
      </c>
      <c r="C8" s="3" t="str">
        <f t="shared" si="0"/>
        <v>2010</v>
      </c>
      <c r="D8" s="2" t="s">
        <v>18</v>
      </c>
      <c r="E8" s="2">
        <v>90</v>
      </c>
      <c r="F8" s="4">
        <v>19800</v>
      </c>
      <c r="H8" s="24" t="s">
        <v>18</v>
      </c>
      <c r="I8" s="25"/>
      <c r="J8" s="25"/>
      <c r="K8" s="25"/>
      <c r="N8" s="36"/>
      <c r="O8" s="17" t="s">
        <v>11</v>
      </c>
      <c r="P8" s="14"/>
    </row>
    <row r="9" spans="1:21" ht="15" thickBot="1" x14ac:dyDescent="0.35">
      <c r="A9" s="2">
        <v>7</v>
      </c>
      <c r="B9" s="3">
        <v>40464</v>
      </c>
      <c r="C9" s="3" t="str">
        <f t="shared" si="0"/>
        <v>2010</v>
      </c>
      <c r="D9" s="2" t="s">
        <v>15</v>
      </c>
      <c r="E9" s="2">
        <v>24</v>
      </c>
      <c r="F9" s="4">
        <v>5280</v>
      </c>
      <c r="H9" s="26" t="s">
        <v>11</v>
      </c>
      <c r="I9" s="25"/>
      <c r="J9" s="25"/>
      <c r="K9" s="25"/>
    </row>
    <row r="10" spans="1:21" x14ac:dyDescent="0.3">
      <c r="A10" s="2">
        <v>8</v>
      </c>
      <c r="B10" s="3">
        <v>40505</v>
      </c>
      <c r="C10" s="3" t="str">
        <f t="shared" si="0"/>
        <v>2010</v>
      </c>
      <c r="D10" s="2" t="s">
        <v>15</v>
      </c>
      <c r="E10" s="2">
        <v>50</v>
      </c>
      <c r="F10" s="4">
        <v>11000</v>
      </c>
    </row>
    <row r="11" spans="1:21" x14ac:dyDescent="0.3">
      <c r="A11" s="2">
        <v>9</v>
      </c>
      <c r="B11" s="3">
        <v>40505</v>
      </c>
      <c r="C11" s="3" t="str">
        <f t="shared" si="0"/>
        <v>2010</v>
      </c>
      <c r="D11" s="2" t="s">
        <v>11</v>
      </c>
      <c r="E11" s="2">
        <v>33</v>
      </c>
      <c r="F11" s="4">
        <v>7260</v>
      </c>
    </row>
    <row r="12" spans="1:21" x14ac:dyDescent="0.3">
      <c r="A12" s="2">
        <v>10</v>
      </c>
      <c r="B12" s="3">
        <v>40611</v>
      </c>
      <c r="C12" s="3" t="str">
        <f t="shared" si="0"/>
        <v>2011</v>
      </c>
      <c r="D12" s="2" t="s">
        <v>18</v>
      </c>
      <c r="E12" s="2">
        <v>95</v>
      </c>
      <c r="F12" s="4">
        <v>20900</v>
      </c>
    </row>
    <row r="13" spans="1:21" ht="15" thickBot="1" x14ac:dyDescent="0.35">
      <c r="A13" s="2">
        <v>11</v>
      </c>
      <c r="B13" s="3">
        <v>40626</v>
      </c>
      <c r="C13" s="3" t="str">
        <f t="shared" si="0"/>
        <v>2011</v>
      </c>
      <c r="D13" s="2" t="s">
        <v>13</v>
      </c>
      <c r="E13" s="2">
        <v>57</v>
      </c>
      <c r="F13" s="4">
        <v>12540</v>
      </c>
    </row>
    <row r="14" spans="1:21" ht="15" thickBot="1" x14ac:dyDescent="0.35">
      <c r="A14" s="2">
        <v>12</v>
      </c>
      <c r="B14" s="3">
        <v>40693</v>
      </c>
      <c r="C14" s="3" t="str">
        <f t="shared" si="0"/>
        <v>2011</v>
      </c>
      <c r="D14" s="2" t="s">
        <v>13</v>
      </c>
      <c r="E14" s="2">
        <v>48</v>
      </c>
      <c r="F14" s="4">
        <v>10560</v>
      </c>
      <c r="H14" s="31" t="s">
        <v>8</v>
      </c>
      <c r="I14" s="32"/>
      <c r="J14" s="33"/>
    </row>
    <row r="15" spans="1:21" ht="15" thickBot="1" x14ac:dyDescent="0.35">
      <c r="A15" s="2">
        <v>13</v>
      </c>
      <c r="B15" s="3">
        <v>40711</v>
      </c>
      <c r="C15" s="3" t="str">
        <f t="shared" si="0"/>
        <v>2011</v>
      </c>
      <c r="D15" s="2" t="s">
        <v>11</v>
      </c>
      <c r="E15" s="2">
        <v>88</v>
      </c>
      <c r="F15" s="4">
        <v>19360</v>
      </c>
      <c r="H15" s="10"/>
      <c r="I15" s="11" t="s">
        <v>10</v>
      </c>
      <c r="J15" s="12" t="s">
        <v>6</v>
      </c>
      <c r="L15" s="7"/>
      <c r="M15" s="8" t="s">
        <v>9</v>
      </c>
      <c r="N15" s="8" t="s">
        <v>10</v>
      </c>
      <c r="O15" s="9" t="s">
        <v>6</v>
      </c>
      <c r="S15" s="27" t="s">
        <v>22</v>
      </c>
      <c r="T15" s="28"/>
      <c r="U15" s="29"/>
    </row>
    <row r="16" spans="1:21" x14ac:dyDescent="0.3">
      <c r="A16" s="2">
        <v>14</v>
      </c>
      <c r="B16" s="3">
        <v>40711</v>
      </c>
      <c r="C16" s="3" t="str">
        <f t="shared" si="0"/>
        <v>2011</v>
      </c>
      <c r="D16" s="2" t="s">
        <v>7</v>
      </c>
      <c r="E16" s="2">
        <v>28</v>
      </c>
      <c r="F16" s="4">
        <v>6160</v>
      </c>
      <c r="H16" s="15" t="s">
        <v>14</v>
      </c>
      <c r="I16" s="13"/>
      <c r="J16" s="16"/>
      <c r="L16" s="34" t="s">
        <v>23</v>
      </c>
      <c r="M16" s="13" t="s">
        <v>13</v>
      </c>
      <c r="N16" s="13"/>
      <c r="O16" s="13"/>
      <c r="R16" s="20" t="s">
        <v>4</v>
      </c>
      <c r="S16" s="21">
        <v>2010</v>
      </c>
      <c r="T16" s="22">
        <v>2011</v>
      </c>
      <c r="U16" s="23">
        <v>2012</v>
      </c>
    </row>
    <row r="17" spans="1:21" x14ac:dyDescent="0.3">
      <c r="A17" s="2">
        <v>15</v>
      </c>
      <c r="B17" s="3">
        <v>40734</v>
      </c>
      <c r="C17" s="3" t="str">
        <f t="shared" si="0"/>
        <v>2011</v>
      </c>
      <c r="D17" s="2" t="s">
        <v>11</v>
      </c>
      <c r="E17" s="2">
        <v>64</v>
      </c>
      <c r="F17" s="4">
        <v>14080</v>
      </c>
      <c r="H17" s="15" t="s">
        <v>16</v>
      </c>
      <c r="I17" s="13"/>
      <c r="J17" s="16"/>
      <c r="L17" s="35"/>
      <c r="M17" s="13" t="s">
        <v>7</v>
      </c>
      <c r="N17" s="13"/>
      <c r="O17" s="13"/>
      <c r="R17" s="24" t="s">
        <v>13</v>
      </c>
      <c r="S17" s="25"/>
      <c r="T17" s="25"/>
      <c r="U17" s="25"/>
    </row>
    <row r="18" spans="1:21" x14ac:dyDescent="0.3">
      <c r="A18" s="2">
        <v>16</v>
      </c>
      <c r="B18" s="3">
        <v>40953</v>
      </c>
      <c r="C18" s="3" t="str">
        <f t="shared" si="0"/>
        <v>2012</v>
      </c>
      <c r="D18" s="2" t="s">
        <v>13</v>
      </c>
      <c r="E18" s="2">
        <v>51</v>
      </c>
      <c r="F18" s="4">
        <v>11220</v>
      </c>
      <c r="H18" s="15" t="s">
        <v>17</v>
      </c>
      <c r="I18" s="13"/>
      <c r="J18" s="16"/>
      <c r="L18" s="35"/>
      <c r="M18" s="13" t="s">
        <v>15</v>
      </c>
      <c r="N18" s="13"/>
      <c r="O18" s="13"/>
      <c r="R18" s="24" t="s">
        <v>7</v>
      </c>
      <c r="S18" s="25"/>
      <c r="T18" s="25"/>
      <c r="U18" s="25"/>
    </row>
    <row r="19" spans="1:21" x14ac:dyDescent="0.3">
      <c r="A19" s="2">
        <v>17</v>
      </c>
      <c r="B19" s="3">
        <v>40953</v>
      </c>
      <c r="C19" s="3" t="str">
        <f t="shared" si="0"/>
        <v>2012</v>
      </c>
      <c r="D19" s="2" t="s">
        <v>15</v>
      </c>
      <c r="E19" s="2">
        <v>25</v>
      </c>
      <c r="F19" s="4">
        <v>5500</v>
      </c>
      <c r="H19" s="15" t="s">
        <v>19</v>
      </c>
      <c r="I19" s="13"/>
      <c r="J19" s="16"/>
      <c r="L19" s="35"/>
      <c r="M19" s="13" t="s">
        <v>18</v>
      </c>
      <c r="N19" s="13"/>
      <c r="O19" s="13"/>
      <c r="R19" s="24" t="s">
        <v>15</v>
      </c>
      <c r="S19" s="25"/>
      <c r="T19" s="25"/>
      <c r="U19" s="25"/>
    </row>
    <row r="20" spans="1:21" ht="15" thickBot="1" x14ac:dyDescent="0.35">
      <c r="A20" s="2">
        <v>18</v>
      </c>
      <c r="B20" s="3">
        <v>41014</v>
      </c>
      <c r="C20" s="3" t="str">
        <f t="shared" si="0"/>
        <v>2012</v>
      </c>
      <c r="D20" s="2" t="s">
        <v>11</v>
      </c>
      <c r="E20" s="2">
        <v>32</v>
      </c>
      <c r="F20" s="4">
        <v>7040</v>
      </c>
      <c r="H20" s="15" t="s">
        <v>20</v>
      </c>
      <c r="I20" s="13"/>
      <c r="J20" s="14"/>
      <c r="L20" s="36"/>
      <c r="M20" s="17" t="s">
        <v>11</v>
      </c>
      <c r="N20" s="13"/>
      <c r="O20" s="13"/>
      <c r="R20" s="24" t="s">
        <v>18</v>
      </c>
      <c r="S20" s="25"/>
      <c r="T20" s="25"/>
      <c r="U20" s="25"/>
    </row>
    <row r="21" spans="1:21" ht="15" thickBot="1" x14ac:dyDescent="0.35">
      <c r="A21" s="2">
        <v>19</v>
      </c>
      <c r="B21" s="3">
        <v>41014</v>
      </c>
      <c r="C21" s="3" t="str">
        <f t="shared" si="0"/>
        <v>2012</v>
      </c>
      <c r="D21" s="2" t="s">
        <v>13</v>
      </c>
      <c r="E21" s="2">
        <v>24</v>
      </c>
      <c r="F21" s="4">
        <v>5280</v>
      </c>
      <c r="H21" s="18" t="s">
        <v>21</v>
      </c>
      <c r="I21" s="13"/>
      <c r="J21" s="19"/>
      <c r="R21" s="26" t="s">
        <v>11</v>
      </c>
      <c r="S21" s="25"/>
      <c r="T21" s="25"/>
      <c r="U21" s="25"/>
    </row>
    <row r="22" spans="1:21" x14ac:dyDescent="0.3">
      <c r="A22" s="2">
        <v>20</v>
      </c>
      <c r="B22" s="3">
        <v>41068</v>
      </c>
      <c r="C22" s="3" t="str">
        <f t="shared" si="0"/>
        <v>2012</v>
      </c>
      <c r="D22" s="2" t="s">
        <v>15</v>
      </c>
      <c r="E22" s="2">
        <v>47</v>
      </c>
      <c r="F22" s="4">
        <v>10340</v>
      </c>
    </row>
    <row r="23" spans="1:21" x14ac:dyDescent="0.3">
      <c r="A23" s="2">
        <v>21</v>
      </c>
      <c r="B23" s="3">
        <v>41068</v>
      </c>
      <c r="C23" s="3" t="str">
        <f t="shared" si="0"/>
        <v>2012</v>
      </c>
      <c r="D23" s="2" t="s">
        <v>13</v>
      </c>
      <c r="E23" s="2">
        <v>41</v>
      </c>
      <c r="F23" s="4">
        <v>9020</v>
      </c>
    </row>
    <row r="24" spans="1:21" x14ac:dyDescent="0.3">
      <c r="A24" s="2">
        <v>22</v>
      </c>
      <c r="B24" s="3">
        <v>41125</v>
      </c>
      <c r="C24" s="3" t="str">
        <f t="shared" si="0"/>
        <v>2012</v>
      </c>
      <c r="D24" s="2" t="s">
        <v>18</v>
      </c>
      <c r="E24" s="2">
        <v>52</v>
      </c>
      <c r="F24" s="4">
        <v>11440</v>
      </c>
    </row>
    <row r="25" spans="1:21" x14ac:dyDescent="0.3">
      <c r="A25" s="2">
        <v>23</v>
      </c>
      <c r="B25" s="3">
        <v>41183</v>
      </c>
      <c r="C25" s="3" t="str">
        <f t="shared" si="0"/>
        <v>2012</v>
      </c>
      <c r="D25" s="2" t="s">
        <v>7</v>
      </c>
      <c r="E25" s="2">
        <v>36</v>
      </c>
      <c r="F25" s="4">
        <v>7920</v>
      </c>
    </row>
    <row r="26" spans="1:21" x14ac:dyDescent="0.3">
      <c r="A26" s="2">
        <v>24</v>
      </c>
      <c r="B26" s="3">
        <v>41183</v>
      </c>
      <c r="C26" s="3" t="str">
        <f t="shared" si="0"/>
        <v>2012</v>
      </c>
      <c r="D26" s="2" t="s">
        <v>11</v>
      </c>
      <c r="E26" s="2">
        <v>60</v>
      </c>
      <c r="F26" s="4">
        <v>13200</v>
      </c>
    </row>
  </sheetData>
  <mergeCells count="6">
    <mergeCell ref="L16:L20"/>
    <mergeCell ref="I3:K3"/>
    <mergeCell ref="A1:F1"/>
    <mergeCell ref="H14:J14"/>
    <mergeCell ref="N4:N8"/>
    <mergeCell ref="S15:U15"/>
  </mergeCells>
  <conditionalFormatting sqref="F3:F26">
    <cfRule type="cellIs" dxfId="0" priority="2" operator="greaterThan">
      <formula>15000</formula>
    </cfRule>
    <cfRule type="cellIs" dxfId="1" priority="1" operator="lessThan">
      <formula>6000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925A8-0D91-43E7-8D4B-55B7A8E104A6}">
  <dimension ref="A1:M26"/>
  <sheetViews>
    <sheetView topLeftCell="C3" workbookViewId="0">
      <selection activeCell="J6" sqref="J6:N14"/>
    </sheetView>
  </sheetViews>
  <sheetFormatPr defaultRowHeight="14.4" x14ac:dyDescent="0.3"/>
  <cols>
    <col min="2" max="2" width="14.109375" customWidth="1"/>
    <col min="5" max="5" width="26.77734375" customWidth="1"/>
    <col min="6" max="6" width="17.21875" customWidth="1"/>
  </cols>
  <sheetData>
    <row r="1" spans="1:13" ht="24.6" x14ac:dyDescent="0.4">
      <c r="A1" s="30" t="s">
        <v>0</v>
      </c>
      <c r="B1" s="30"/>
      <c r="C1" s="30"/>
      <c r="D1" s="30"/>
      <c r="E1" s="30"/>
      <c r="F1" s="30"/>
    </row>
    <row r="2" spans="1:13" ht="17.399999999999999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13" x14ac:dyDescent="0.3">
      <c r="A3" s="2">
        <v>1</v>
      </c>
      <c r="B3" s="3">
        <v>40221</v>
      </c>
      <c r="C3" s="3" t="str">
        <f t="shared" ref="C3:C26" si="0">TEXT(B3,"YYYY")</f>
        <v>2010</v>
      </c>
      <c r="D3" s="2" t="s">
        <v>7</v>
      </c>
      <c r="E3" s="2">
        <v>76</v>
      </c>
      <c r="F3" s="4">
        <v>16720</v>
      </c>
    </row>
    <row r="4" spans="1:13" x14ac:dyDescent="0.3">
      <c r="A4" s="2">
        <v>2</v>
      </c>
      <c r="B4" s="3">
        <v>40235</v>
      </c>
      <c r="C4" s="3" t="str">
        <f t="shared" si="0"/>
        <v>2010</v>
      </c>
      <c r="D4" s="2" t="s">
        <v>11</v>
      </c>
      <c r="E4" s="2">
        <v>59</v>
      </c>
      <c r="F4" s="4">
        <v>12980</v>
      </c>
    </row>
    <row r="5" spans="1:13" ht="15" thickBot="1" x14ac:dyDescent="0.35">
      <c r="A5" s="2">
        <v>3</v>
      </c>
      <c r="B5" s="3">
        <v>40249</v>
      </c>
      <c r="C5" s="3" t="str">
        <f t="shared" si="0"/>
        <v>2010</v>
      </c>
      <c r="D5" s="2" t="s">
        <v>13</v>
      </c>
      <c r="E5" s="2">
        <v>56</v>
      </c>
      <c r="F5" s="4">
        <v>12320</v>
      </c>
    </row>
    <row r="6" spans="1:13" ht="15" thickBot="1" x14ac:dyDescent="0.35">
      <c r="A6" s="2">
        <v>4</v>
      </c>
      <c r="B6" s="3">
        <v>40249</v>
      </c>
      <c r="C6" s="3" t="str">
        <f t="shared" si="0"/>
        <v>2010</v>
      </c>
      <c r="D6" s="2" t="s">
        <v>15</v>
      </c>
      <c r="E6" s="2">
        <v>48</v>
      </c>
      <c r="F6" s="4">
        <v>10560</v>
      </c>
      <c r="K6" s="27" t="s">
        <v>22</v>
      </c>
      <c r="L6" s="28"/>
      <c r="M6" s="29"/>
    </row>
    <row r="7" spans="1:13" x14ac:dyDescent="0.3">
      <c r="A7" s="2">
        <v>5</v>
      </c>
      <c r="B7" s="3">
        <v>40418</v>
      </c>
      <c r="C7" s="3" t="str">
        <f t="shared" si="0"/>
        <v>2010</v>
      </c>
      <c r="D7" s="2" t="s">
        <v>11</v>
      </c>
      <c r="E7" s="2">
        <v>40</v>
      </c>
      <c r="F7" s="4">
        <v>8800</v>
      </c>
      <c r="J7" s="20" t="s">
        <v>4</v>
      </c>
      <c r="K7" s="21">
        <v>2010</v>
      </c>
      <c r="L7" s="22">
        <v>2011</v>
      </c>
      <c r="M7" s="23">
        <v>2012</v>
      </c>
    </row>
    <row r="8" spans="1:13" x14ac:dyDescent="0.3">
      <c r="A8" s="2">
        <v>6</v>
      </c>
      <c r="B8" s="3">
        <v>40418</v>
      </c>
      <c r="C8" s="3" t="str">
        <f t="shared" si="0"/>
        <v>2010</v>
      </c>
      <c r="D8" s="2" t="s">
        <v>18</v>
      </c>
      <c r="E8" s="2">
        <v>90</v>
      </c>
      <c r="F8" s="4">
        <v>19800</v>
      </c>
      <c r="J8" s="24" t="s">
        <v>13</v>
      </c>
      <c r="K8" s="37">
        <f>SUMIFS(E2:E26,D2:D26,"Abdul",C2:C26,2010)</f>
        <v>56</v>
      </c>
      <c r="L8" s="37">
        <f>SUMIFS(E2:E26,D2:D26,"Abdul",C2:C26,2011)</f>
        <v>105</v>
      </c>
      <c r="M8" s="37">
        <f>SUMIFS(E2:E26,D2:D26,"Abdul",C2:C26,2012)</f>
        <v>116</v>
      </c>
    </row>
    <row r="9" spans="1:13" x14ac:dyDescent="0.3">
      <c r="A9" s="2">
        <v>7</v>
      </c>
      <c r="B9" s="3">
        <v>40464</v>
      </c>
      <c r="C9" s="3" t="str">
        <f t="shared" si="0"/>
        <v>2010</v>
      </c>
      <c r="D9" s="2" t="s">
        <v>15</v>
      </c>
      <c r="E9" s="2">
        <v>24</v>
      </c>
      <c r="F9" s="4">
        <v>5280</v>
      </c>
      <c r="J9" s="24" t="s">
        <v>7</v>
      </c>
      <c r="K9" s="37">
        <f>SUMIFS(E2:E26,D2:D26,"Ayo",C2:C26,2010)</f>
        <v>76</v>
      </c>
      <c r="L9" s="37">
        <f>SUMIFS(E2:E26,D2:D26,"Ayo",C2:C26,2011)</f>
        <v>28</v>
      </c>
      <c r="M9" s="37">
        <f>SUMIFS(E2:E26,D2:D26,"Ayo",C2:C26,2012)</f>
        <v>36</v>
      </c>
    </row>
    <row r="10" spans="1:13" x14ac:dyDescent="0.3">
      <c r="A10" s="2">
        <v>8</v>
      </c>
      <c r="B10" s="3">
        <v>40505</v>
      </c>
      <c r="C10" s="3" t="str">
        <f t="shared" si="0"/>
        <v>2010</v>
      </c>
      <c r="D10" s="2" t="s">
        <v>15</v>
      </c>
      <c r="E10" s="2">
        <v>50</v>
      </c>
      <c r="F10" s="4">
        <v>11000</v>
      </c>
      <c r="J10" s="24" t="s">
        <v>15</v>
      </c>
      <c r="K10" s="37">
        <f>SUMIFS(E2:E26,D2:D26,"Ada",C2:C26,2010)</f>
        <v>122</v>
      </c>
      <c r="L10" s="37">
        <f>SUMIFS(E2:E26,D2:D26,"Ada",C2:C26,2011)</f>
        <v>0</v>
      </c>
      <c r="M10" s="37">
        <f>SUMIFS(E2:E26,D2:D26,"Ada",C2:C26,2012)</f>
        <v>72</v>
      </c>
    </row>
    <row r="11" spans="1:13" x14ac:dyDescent="0.3">
      <c r="A11" s="2">
        <v>9</v>
      </c>
      <c r="B11" s="3">
        <v>40505</v>
      </c>
      <c r="C11" s="3" t="str">
        <f t="shared" si="0"/>
        <v>2010</v>
      </c>
      <c r="D11" s="2" t="s">
        <v>11</v>
      </c>
      <c r="E11" s="2">
        <v>33</v>
      </c>
      <c r="F11" s="4">
        <v>7260</v>
      </c>
      <c r="J11" s="24" t="s">
        <v>18</v>
      </c>
      <c r="K11" s="37">
        <f>SUMIFS(E2:E26,D2:D26,"Ese",C2:C26,2010)</f>
        <v>90</v>
      </c>
      <c r="L11" s="37">
        <f>SUMIFS(E2:E26,D2:D26,"Ese",C2:C26,2011)</f>
        <v>95</v>
      </c>
      <c r="M11" s="37">
        <f>SUMIFS(E2:E26,D2:D26,"Ese",C2:C26,2012)</f>
        <v>52</v>
      </c>
    </row>
    <row r="12" spans="1:13" ht="15" thickBot="1" x14ac:dyDescent="0.35">
      <c r="A12" s="2">
        <v>10</v>
      </c>
      <c r="B12" s="3">
        <v>40611</v>
      </c>
      <c r="C12" s="3" t="str">
        <f t="shared" si="0"/>
        <v>2011</v>
      </c>
      <c r="D12" s="2" t="s">
        <v>18</v>
      </c>
      <c r="E12" s="2">
        <v>95</v>
      </c>
      <c r="F12" s="4">
        <v>20900</v>
      </c>
      <c r="J12" s="26" t="s">
        <v>11</v>
      </c>
      <c r="K12" s="37">
        <f>SUMIFS(E2:E26,D2:D26,"Tola",C2:C26,2010)</f>
        <v>132</v>
      </c>
      <c r="L12" s="37">
        <f>SUMIFS(E2:E26,D2:D26,"Tola",C2:C26,2011)</f>
        <v>152</v>
      </c>
      <c r="M12" s="37">
        <f>SUMIFS(E2:E26,D2:D26,"Tola",C2:C26,2012)</f>
        <v>92</v>
      </c>
    </row>
    <row r="13" spans="1:13" x14ac:dyDescent="0.3">
      <c r="A13" s="2">
        <v>11</v>
      </c>
      <c r="B13" s="3">
        <v>40626</v>
      </c>
      <c r="C13" s="3" t="str">
        <f t="shared" si="0"/>
        <v>2011</v>
      </c>
      <c r="D13" s="2" t="s">
        <v>13</v>
      </c>
      <c r="E13" s="2">
        <v>57</v>
      </c>
      <c r="F13" s="4">
        <v>12540</v>
      </c>
    </row>
    <row r="14" spans="1:13" x14ac:dyDescent="0.3">
      <c r="A14" s="2">
        <v>12</v>
      </c>
      <c r="B14" s="3">
        <v>40693</v>
      </c>
      <c r="C14" s="3" t="str">
        <f t="shared" si="0"/>
        <v>2011</v>
      </c>
      <c r="D14" s="2" t="s">
        <v>13</v>
      </c>
      <c r="E14" s="2">
        <v>48</v>
      </c>
      <c r="F14" s="4">
        <v>10560</v>
      </c>
    </row>
    <row r="15" spans="1:13" x14ac:dyDescent="0.3">
      <c r="A15" s="2">
        <v>13</v>
      </c>
      <c r="B15" s="3">
        <v>40711</v>
      </c>
      <c r="C15" s="3" t="str">
        <f t="shared" si="0"/>
        <v>2011</v>
      </c>
      <c r="D15" s="2" t="s">
        <v>11</v>
      </c>
      <c r="E15" s="2">
        <v>88</v>
      </c>
      <c r="F15" s="4">
        <v>19360</v>
      </c>
    </row>
    <row r="16" spans="1:13" x14ac:dyDescent="0.3">
      <c r="A16" s="2">
        <v>14</v>
      </c>
      <c r="B16" s="3">
        <v>40711</v>
      </c>
      <c r="C16" s="3" t="str">
        <f t="shared" si="0"/>
        <v>2011</v>
      </c>
      <c r="D16" s="2" t="s">
        <v>7</v>
      </c>
      <c r="E16" s="2">
        <v>28</v>
      </c>
      <c r="F16" s="4">
        <v>6160</v>
      </c>
    </row>
    <row r="17" spans="1:6" x14ac:dyDescent="0.3">
      <c r="A17" s="2">
        <v>15</v>
      </c>
      <c r="B17" s="3">
        <v>40734</v>
      </c>
      <c r="C17" s="3" t="str">
        <f t="shared" si="0"/>
        <v>2011</v>
      </c>
      <c r="D17" s="2" t="s">
        <v>11</v>
      </c>
      <c r="E17" s="2">
        <v>64</v>
      </c>
      <c r="F17" s="4">
        <v>14080</v>
      </c>
    </row>
    <row r="18" spans="1:6" x14ac:dyDescent="0.3">
      <c r="A18" s="2">
        <v>16</v>
      </c>
      <c r="B18" s="3">
        <v>40953</v>
      </c>
      <c r="C18" s="3" t="str">
        <f t="shared" si="0"/>
        <v>2012</v>
      </c>
      <c r="D18" s="2" t="s">
        <v>13</v>
      </c>
      <c r="E18" s="2">
        <v>51</v>
      </c>
      <c r="F18" s="4">
        <v>11220</v>
      </c>
    </row>
    <row r="19" spans="1:6" x14ac:dyDescent="0.3">
      <c r="A19" s="2">
        <v>17</v>
      </c>
      <c r="B19" s="3">
        <v>40953</v>
      </c>
      <c r="C19" s="3" t="str">
        <f t="shared" si="0"/>
        <v>2012</v>
      </c>
      <c r="D19" s="2" t="s">
        <v>15</v>
      </c>
      <c r="E19" s="2">
        <v>25</v>
      </c>
      <c r="F19" s="4">
        <v>5500</v>
      </c>
    </row>
    <row r="20" spans="1:6" x14ac:dyDescent="0.3">
      <c r="A20" s="2">
        <v>18</v>
      </c>
      <c r="B20" s="3">
        <v>41014</v>
      </c>
      <c r="C20" s="3" t="str">
        <f t="shared" si="0"/>
        <v>2012</v>
      </c>
      <c r="D20" s="2" t="s">
        <v>11</v>
      </c>
      <c r="E20" s="2">
        <v>32</v>
      </c>
      <c r="F20" s="4">
        <v>7040</v>
      </c>
    </row>
    <row r="21" spans="1:6" x14ac:dyDescent="0.3">
      <c r="A21" s="2">
        <v>19</v>
      </c>
      <c r="B21" s="3">
        <v>41014</v>
      </c>
      <c r="C21" s="3" t="str">
        <f t="shared" si="0"/>
        <v>2012</v>
      </c>
      <c r="D21" s="2" t="s">
        <v>13</v>
      </c>
      <c r="E21" s="2">
        <v>24</v>
      </c>
      <c r="F21" s="4">
        <v>5280</v>
      </c>
    </row>
    <row r="22" spans="1:6" x14ac:dyDescent="0.3">
      <c r="A22" s="2">
        <v>20</v>
      </c>
      <c r="B22" s="3">
        <v>41068</v>
      </c>
      <c r="C22" s="3" t="str">
        <f t="shared" si="0"/>
        <v>2012</v>
      </c>
      <c r="D22" s="2" t="s">
        <v>15</v>
      </c>
      <c r="E22" s="2">
        <v>47</v>
      </c>
      <c r="F22" s="4">
        <v>10340</v>
      </c>
    </row>
    <row r="23" spans="1:6" x14ac:dyDescent="0.3">
      <c r="A23" s="2">
        <v>21</v>
      </c>
      <c r="B23" s="3">
        <v>41068</v>
      </c>
      <c r="C23" s="3" t="str">
        <f t="shared" si="0"/>
        <v>2012</v>
      </c>
      <c r="D23" s="2" t="s">
        <v>13</v>
      </c>
      <c r="E23" s="2">
        <v>41</v>
      </c>
      <c r="F23" s="4">
        <v>9020</v>
      </c>
    </row>
    <row r="24" spans="1:6" x14ac:dyDescent="0.3">
      <c r="A24" s="2">
        <v>22</v>
      </c>
      <c r="B24" s="3">
        <v>41125</v>
      </c>
      <c r="C24" s="3" t="str">
        <f t="shared" si="0"/>
        <v>2012</v>
      </c>
      <c r="D24" s="2" t="s">
        <v>18</v>
      </c>
      <c r="E24" s="2">
        <v>52</v>
      </c>
      <c r="F24" s="4">
        <v>11440</v>
      </c>
    </row>
    <row r="25" spans="1:6" x14ac:dyDescent="0.3">
      <c r="A25" s="2">
        <v>23</v>
      </c>
      <c r="B25" s="3">
        <v>41183</v>
      </c>
      <c r="C25" s="3" t="str">
        <f t="shared" si="0"/>
        <v>2012</v>
      </c>
      <c r="D25" s="2" t="s">
        <v>7</v>
      </c>
      <c r="E25" s="2">
        <v>36</v>
      </c>
      <c r="F25" s="4">
        <v>7920</v>
      </c>
    </row>
    <row r="26" spans="1:6" x14ac:dyDescent="0.3">
      <c r="A26" s="2">
        <v>24</v>
      </c>
      <c r="B26" s="3">
        <v>41183</v>
      </c>
      <c r="C26" s="3" t="str">
        <f t="shared" si="0"/>
        <v>2012</v>
      </c>
      <c r="D26" s="2" t="s">
        <v>11</v>
      </c>
      <c r="E26" s="2">
        <v>60</v>
      </c>
      <c r="F26" s="4">
        <v>13200</v>
      </c>
    </row>
  </sheetData>
  <mergeCells count="2">
    <mergeCell ref="K6:M6"/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C6195-E602-4D14-BE8C-52639AA849D1}">
  <dimension ref="A1:K26"/>
  <sheetViews>
    <sheetView topLeftCell="E1" workbookViewId="0">
      <selection activeCell="J9" sqref="J9"/>
    </sheetView>
  </sheetViews>
  <sheetFormatPr defaultRowHeight="14.4" x14ac:dyDescent="0.3"/>
  <cols>
    <col min="2" max="2" width="16.6640625" customWidth="1"/>
    <col min="4" max="4" width="12.77734375" customWidth="1"/>
    <col min="5" max="5" width="17.77734375" customWidth="1"/>
    <col min="9" max="10" width="16.6640625" customWidth="1"/>
    <col min="11" max="11" width="15.21875" customWidth="1"/>
  </cols>
  <sheetData>
    <row r="1" spans="1:11" ht="24.6" x14ac:dyDescent="0.4">
      <c r="A1" s="30" t="s">
        <v>0</v>
      </c>
      <c r="B1" s="30"/>
      <c r="C1" s="30"/>
      <c r="D1" s="30"/>
      <c r="E1" s="30"/>
      <c r="F1" s="30"/>
    </row>
    <row r="2" spans="1:11" ht="17.399999999999999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11" ht="21" x14ac:dyDescent="0.4">
      <c r="A3" s="2">
        <v>1</v>
      </c>
      <c r="B3" s="3">
        <v>40221</v>
      </c>
      <c r="C3" s="3" t="str">
        <f t="shared" ref="C3:C26" si="0">TEXT(B3,"YYYY")</f>
        <v>2010</v>
      </c>
      <c r="D3" s="2" t="s">
        <v>7</v>
      </c>
      <c r="E3" s="2">
        <v>76</v>
      </c>
      <c r="F3" s="4">
        <v>16720</v>
      </c>
      <c r="I3" s="38" t="s">
        <v>24</v>
      </c>
    </row>
    <row r="4" spans="1:11" x14ac:dyDescent="0.3">
      <c r="A4" s="2">
        <v>2</v>
      </c>
      <c r="B4" s="3">
        <v>40235</v>
      </c>
      <c r="C4" s="3" t="str">
        <f t="shared" si="0"/>
        <v>2010</v>
      </c>
      <c r="D4" s="2" t="s">
        <v>11</v>
      </c>
      <c r="E4" s="2">
        <v>59</v>
      </c>
      <c r="F4" s="4">
        <v>12980</v>
      </c>
      <c r="H4" s="40" t="s">
        <v>25</v>
      </c>
      <c r="I4" s="6" t="str">
        <f>C3</f>
        <v>2010</v>
      </c>
      <c r="J4" s="6" t="str">
        <f>C12</f>
        <v>2011</v>
      </c>
      <c r="K4" s="6" t="str">
        <f>C20</f>
        <v>2012</v>
      </c>
    </row>
    <row r="5" spans="1:11" x14ac:dyDescent="0.3">
      <c r="A5" s="2">
        <v>3</v>
      </c>
      <c r="B5" s="3">
        <v>40249</v>
      </c>
      <c r="C5" s="3" t="str">
        <f t="shared" si="0"/>
        <v>2010</v>
      </c>
      <c r="D5" s="2" t="s">
        <v>13</v>
      </c>
      <c r="E5" s="2">
        <v>56</v>
      </c>
      <c r="F5" s="4">
        <v>12320</v>
      </c>
      <c r="H5" t="str">
        <f t="shared" ref="H5:H9" si="1">D3</f>
        <v>Ayo</v>
      </c>
      <c r="I5">
        <f>SUMIFS(F2:F26,D2:D26,"Ayo",C2:C26,2010)</f>
        <v>16720</v>
      </c>
      <c r="J5">
        <f>SUMIFS(F2:F26,D2:D26,"Ayo",C2:C26,2011)</f>
        <v>6160</v>
      </c>
      <c r="K5">
        <f>SUMIFS(F2:F26,D2:D26,"ayo",C2:C26,2012)</f>
        <v>7920</v>
      </c>
    </row>
    <row r="6" spans="1:11" x14ac:dyDescent="0.3">
      <c r="A6" s="2">
        <v>4</v>
      </c>
      <c r="B6" s="3">
        <v>40249</v>
      </c>
      <c r="C6" s="3" t="str">
        <f t="shared" si="0"/>
        <v>2010</v>
      </c>
      <c r="D6" s="2" t="s">
        <v>15</v>
      </c>
      <c r="E6" s="2">
        <v>48</v>
      </c>
      <c r="F6" s="4">
        <v>10560</v>
      </c>
      <c r="H6" t="str">
        <f t="shared" si="1"/>
        <v>Tola</v>
      </c>
      <c r="I6">
        <f>SUMIFS(F3:F27,D3:D27,"tola",C3:C27,2010)</f>
        <v>29040</v>
      </c>
      <c r="J6">
        <f>SUMIFS(F3:F27,D3:D27,"tola",C3:C27,2011)</f>
        <v>33440</v>
      </c>
      <c r="K6">
        <f>SUMIFS(F3:F27,D3:D27,"tola",C3:C27,2012)</f>
        <v>20240</v>
      </c>
    </row>
    <row r="7" spans="1:11" x14ac:dyDescent="0.3">
      <c r="A7" s="2">
        <v>5</v>
      </c>
      <c r="B7" s="3">
        <v>40418</v>
      </c>
      <c r="C7" s="3" t="str">
        <f t="shared" si="0"/>
        <v>2010</v>
      </c>
      <c r="D7" s="2" t="s">
        <v>11</v>
      </c>
      <c r="E7" s="2">
        <v>40</v>
      </c>
      <c r="F7" s="4">
        <v>8800</v>
      </c>
      <c r="H7" t="str">
        <f t="shared" si="1"/>
        <v>Abdul</v>
      </c>
      <c r="I7">
        <f>SUMIFS(F4:F28,D4:D28,"abdul",C4:C28,2010)</f>
        <v>12320</v>
      </c>
      <c r="J7">
        <f>SUMIFS(F4:F28,D4:D28,"abdul",C4:C28,2011)</f>
        <v>23100</v>
      </c>
      <c r="K7">
        <f>SUMIFS(F4:F28,D4:D28,"abdul",C4:C28,2012)</f>
        <v>25520</v>
      </c>
    </row>
    <row r="8" spans="1:11" x14ac:dyDescent="0.3">
      <c r="A8" s="2">
        <v>6</v>
      </c>
      <c r="B8" s="3">
        <v>40418</v>
      </c>
      <c r="C8" s="3" t="str">
        <f t="shared" si="0"/>
        <v>2010</v>
      </c>
      <c r="D8" s="2" t="s">
        <v>18</v>
      </c>
      <c r="E8" s="2">
        <v>90</v>
      </c>
      <c r="F8" s="4">
        <v>19800</v>
      </c>
      <c r="H8" t="str">
        <f t="shared" si="1"/>
        <v>Ada</v>
      </c>
      <c r="I8">
        <f>SUMIFS(F3:F29,D3:D29,"Ada",C3:C29,2010)</f>
        <v>26840</v>
      </c>
      <c r="J8">
        <f>SUMIFS(F5:F29,D5:D29,"Ada",C5:C29,2011)</f>
        <v>0</v>
      </c>
      <c r="K8">
        <f>SUMIFS(F5:F29,D5:D29,"ada",C5:C29,2012)</f>
        <v>15840</v>
      </c>
    </row>
    <row r="9" spans="1:11" x14ac:dyDescent="0.3">
      <c r="A9" s="2">
        <v>7</v>
      </c>
      <c r="B9" s="3">
        <v>40464</v>
      </c>
      <c r="C9" s="3" t="str">
        <f t="shared" si="0"/>
        <v>2010</v>
      </c>
      <c r="D9" s="2" t="s">
        <v>15</v>
      </c>
      <c r="E9" s="2">
        <v>24</v>
      </c>
      <c r="F9" s="4">
        <v>5280</v>
      </c>
      <c r="H9" t="str">
        <f>D12</f>
        <v>Ese</v>
      </c>
      <c r="I9">
        <f>SUMIFS(F3:F30,D3:D30,"ese",C3:C30,2010)</f>
        <v>19800</v>
      </c>
      <c r="J9">
        <f>SUMIFS(F6:F30,D6:D30,"ese",C6:C30,2011)</f>
        <v>20900</v>
      </c>
      <c r="K9">
        <f>SUMIFS(F6:F30,D6:D30,"ese",C6:C30,2012)</f>
        <v>11440</v>
      </c>
    </row>
    <row r="10" spans="1:11" x14ac:dyDescent="0.3">
      <c r="A10" s="2">
        <v>8</v>
      </c>
      <c r="B10" s="3">
        <v>40505</v>
      </c>
      <c r="C10" s="3" t="str">
        <f t="shared" si="0"/>
        <v>2010</v>
      </c>
      <c r="D10" s="2" t="s">
        <v>15</v>
      </c>
      <c r="E10" s="2">
        <v>50</v>
      </c>
      <c r="F10" s="4">
        <v>11000</v>
      </c>
    </row>
    <row r="11" spans="1:11" x14ac:dyDescent="0.3">
      <c r="A11" s="2">
        <v>9</v>
      </c>
      <c r="B11" s="3">
        <v>40505</v>
      </c>
      <c r="C11" s="3" t="str">
        <f t="shared" si="0"/>
        <v>2010</v>
      </c>
      <c r="D11" s="2" t="s">
        <v>11</v>
      </c>
      <c r="E11" s="2">
        <v>33</v>
      </c>
      <c r="F11" s="4">
        <v>7260</v>
      </c>
    </row>
    <row r="12" spans="1:11" x14ac:dyDescent="0.3">
      <c r="A12" s="2">
        <v>10</v>
      </c>
      <c r="B12" s="3">
        <v>40611</v>
      </c>
      <c r="C12" s="3" t="str">
        <f t="shared" si="0"/>
        <v>2011</v>
      </c>
      <c r="D12" s="2" t="s">
        <v>18</v>
      </c>
      <c r="E12" s="2">
        <v>95</v>
      </c>
      <c r="F12" s="4">
        <v>20900</v>
      </c>
    </row>
    <row r="13" spans="1:11" x14ac:dyDescent="0.3">
      <c r="A13" s="2">
        <v>11</v>
      </c>
      <c r="B13" s="3">
        <v>40626</v>
      </c>
      <c r="C13" s="3" t="str">
        <f t="shared" si="0"/>
        <v>2011</v>
      </c>
      <c r="D13" s="2" t="s">
        <v>13</v>
      </c>
      <c r="E13" s="2">
        <v>57</v>
      </c>
      <c r="F13" s="4">
        <v>12540</v>
      </c>
    </row>
    <row r="14" spans="1:11" x14ac:dyDescent="0.3">
      <c r="A14" s="2">
        <v>12</v>
      </c>
      <c r="B14" s="3">
        <v>40693</v>
      </c>
      <c r="C14" s="3" t="str">
        <f t="shared" si="0"/>
        <v>2011</v>
      </c>
      <c r="D14" s="2" t="s">
        <v>13</v>
      </c>
      <c r="E14" s="2">
        <v>48</v>
      </c>
      <c r="F14" s="4">
        <v>10560</v>
      </c>
    </row>
    <row r="15" spans="1:11" x14ac:dyDescent="0.3">
      <c r="A15" s="2">
        <v>13</v>
      </c>
      <c r="B15" s="3">
        <v>40711</v>
      </c>
      <c r="C15" s="3" t="str">
        <f t="shared" si="0"/>
        <v>2011</v>
      </c>
      <c r="D15" s="2" t="s">
        <v>11</v>
      </c>
      <c r="E15" s="2">
        <v>88</v>
      </c>
      <c r="F15" s="4">
        <v>19360</v>
      </c>
    </row>
    <row r="16" spans="1:11" x14ac:dyDescent="0.3">
      <c r="A16" s="2">
        <v>14</v>
      </c>
      <c r="B16" s="3">
        <v>40711</v>
      </c>
      <c r="C16" s="3" t="str">
        <f t="shared" si="0"/>
        <v>2011</v>
      </c>
      <c r="D16" s="2" t="s">
        <v>7</v>
      </c>
      <c r="E16" s="2">
        <v>28</v>
      </c>
      <c r="F16" s="4">
        <v>6160</v>
      </c>
    </row>
    <row r="17" spans="1:6" x14ac:dyDescent="0.3">
      <c r="A17" s="2">
        <v>15</v>
      </c>
      <c r="B17" s="3">
        <v>40734</v>
      </c>
      <c r="C17" s="3" t="str">
        <f t="shared" si="0"/>
        <v>2011</v>
      </c>
      <c r="D17" s="2" t="s">
        <v>11</v>
      </c>
      <c r="E17" s="2">
        <v>64</v>
      </c>
      <c r="F17" s="4">
        <v>14080</v>
      </c>
    </row>
    <row r="18" spans="1:6" x14ac:dyDescent="0.3">
      <c r="A18" s="2">
        <v>16</v>
      </c>
      <c r="B18" s="3">
        <v>40953</v>
      </c>
      <c r="C18" s="3" t="str">
        <f t="shared" si="0"/>
        <v>2012</v>
      </c>
      <c r="D18" s="2" t="s">
        <v>13</v>
      </c>
      <c r="E18" s="2">
        <v>51</v>
      </c>
      <c r="F18" s="4">
        <v>11220</v>
      </c>
    </row>
    <row r="19" spans="1:6" x14ac:dyDescent="0.3">
      <c r="A19" s="2">
        <v>17</v>
      </c>
      <c r="B19" s="3">
        <v>40953</v>
      </c>
      <c r="C19" s="3" t="str">
        <f t="shared" si="0"/>
        <v>2012</v>
      </c>
      <c r="D19" s="2" t="s">
        <v>15</v>
      </c>
      <c r="E19" s="2">
        <v>25</v>
      </c>
      <c r="F19" s="4">
        <v>5500</v>
      </c>
    </row>
    <row r="20" spans="1:6" x14ac:dyDescent="0.3">
      <c r="A20" s="2">
        <v>18</v>
      </c>
      <c r="B20" s="3">
        <v>41014</v>
      </c>
      <c r="C20" s="3" t="str">
        <f t="shared" si="0"/>
        <v>2012</v>
      </c>
      <c r="D20" s="2" t="s">
        <v>11</v>
      </c>
      <c r="E20" s="2">
        <v>32</v>
      </c>
      <c r="F20" s="4">
        <v>7040</v>
      </c>
    </row>
    <row r="21" spans="1:6" x14ac:dyDescent="0.3">
      <c r="A21" s="2">
        <v>19</v>
      </c>
      <c r="B21" s="3">
        <v>41014</v>
      </c>
      <c r="C21" s="3" t="str">
        <f t="shared" si="0"/>
        <v>2012</v>
      </c>
      <c r="D21" s="2" t="s">
        <v>13</v>
      </c>
      <c r="E21" s="2">
        <v>24</v>
      </c>
      <c r="F21" s="4">
        <v>5280</v>
      </c>
    </row>
    <row r="22" spans="1:6" x14ac:dyDescent="0.3">
      <c r="A22" s="2">
        <v>20</v>
      </c>
      <c r="B22" s="3">
        <v>41068</v>
      </c>
      <c r="C22" s="3" t="str">
        <f t="shared" si="0"/>
        <v>2012</v>
      </c>
      <c r="D22" s="2" t="s">
        <v>15</v>
      </c>
      <c r="E22" s="2">
        <v>47</v>
      </c>
      <c r="F22" s="4">
        <v>10340</v>
      </c>
    </row>
    <row r="23" spans="1:6" x14ac:dyDescent="0.3">
      <c r="A23" s="2">
        <v>21</v>
      </c>
      <c r="B23" s="3">
        <v>41068</v>
      </c>
      <c r="C23" s="3" t="str">
        <f t="shared" si="0"/>
        <v>2012</v>
      </c>
      <c r="D23" s="2" t="s">
        <v>13</v>
      </c>
      <c r="E23" s="2">
        <v>41</v>
      </c>
      <c r="F23" s="4">
        <v>9020</v>
      </c>
    </row>
    <row r="24" spans="1:6" x14ac:dyDescent="0.3">
      <c r="A24" s="2">
        <v>22</v>
      </c>
      <c r="B24" s="3">
        <v>41125</v>
      </c>
      <c r="C24" s="3" t="str">
        <f t="shared" si="0"/>
        <v>2012</v>
      </c>
      <c r="D24" s="2" t="s">
        <v>18</v>
      </c>
      <c r="E24" s="2">
        <v>52</v>
      </c>
      <c r="F24" s="4">
        <v>11440</v>
      </c>
    </row>
    <row r="25" spans="1:6" x14ac:dyDescent="0.3">
      <c r="A25" s="2">
        <v>23</v>
      </c>
      <c r="B25" s="3">
        <v>41183</v>
      </c>
      <c r="C25" s="3" t="str">
        <f t="shared" si="0"/>
        <v>2012</v>
      </c>
      <c r="D25" s="2" t="s">
        <v>7</v>
      </c>
      <c r="E25" s="2">
        <v>36</v>
      </c>
      <c r="F25" s="4">
        <v>7920</v>
      </c>
    </row>
    <row r="26" spans="1:6" x14ac:dyDescent="0.3">
      <c r="A26" s="2">
        <v>24</v>
      </c>
      <c r="B26" s="3">
        <v>41183</v>
      </c>
      <c r="C26" s="3" t="str">
        <f t="shared" si="0"/>
        <v>2012</v>
      </c>
      <c r="D26" s="2" t="s">
        <v>11</v>
      </c>
      <c r="E26" s="2">
        <v>60</v>
      </c>
      <c r="F26" s="4">
        <v>13200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45C99-38E7-4963-8FEF-AAE5AF47568E}">
  <dimension ref="A1:J26"/>
  <sheetViews>
    <sheetView topLeftCell="E1" workbookViewId="0">
      <selection activeCell="I16" sqref="I16"/>
    </sheetView>
  </sheetViews>
  <sheetFormatPr defaultRowHeight="14.4" x14ac:dyDescent="0.3"/>
  <cols>
    <col min="2" max="2" width="15.77734375" customWidth="1"/>
    <col min="5" max="5" width="21.77734375" customWidth="1"/>
    <col min="6" max="6" width="18.109375" customWidth="1"/>
    <col min="9" max="9" width="17" customWidth="1"/>
    <col min="10" max="10" width="20" customWidth="1"/>
  </cols>
  <sheetData>
    <row r="1" spans="1:10" ht="24.6" x14ac:dyDescent="0.4">
      <c r="A1" s="30" t="s">
        <v>0</v>
      </c>
      <c r="B1" s="30"/>
      <c r="C1" s="30"/>
      <c r="D1" s="30"/>
      <c r="E1" s="30"/>
      <c r="F1" s="30"/>
    </row>
    <row r="2" spans="1:10" ht="17.399999999999999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10" x14ac:dyDescent="0.3">
      <c r="A3" s="2">
        <v>1</v>
      </c>
      <c r="B3" s="3">
        <v>40221</v>
      </c>
      <c r="C3" s="3" t="str">
        <f t="shared" ref="C3:C26" si="0">TEXT(B3,"YYYY")</f>
        <v>2010</v>
      </c>
      <c r="D3" s="2" t="s">
        <v>7</v>
      </c>
      <c r="E3" s="2">
        <v>76</v>
      </c>
      <c r="F3" s="4">
        <v>16720</v>
      </c>
    </row>
    <row r="4" spans="1:10" x14ac:dyDescent="0.3">
      <c r="A4" s="2">
        <v>2</v>
      </c>
      <c r="B4" s="3">
        <v>40235</v>
      </c>
      <c r="C4" s="3" t="str">
        <f t="shared" si="0"/>
        <v>2010</v>
      </c>
      <c r="D4" s="2" t="s">
        <v>11</v>
      </c>
      <c r="E4" s="2">
        <v>59</v>
      </c>
      <c r="F4" s="4">
        <v>12980</v>
      </c>
    </row>
    <row r="5" spans="1:10" x14ac:dyDescent="0.3">
      <c r="A5" s="2">
        <v>3</v>
      </c>
      <c r="B5" s="3">
        <v>40249</v>
      </c>
      <c r="C5" s="3" t="str">
        <f t="shared" si="0"/>
        <v>2010</v>
      </c>
      <c r="D5" s="2" t="s">
        <v>13</v>
      </c>
      <c r="E5" s="2">
        <v>56</v>
      </c>
      <c r="F5" s="4">
        <v>12320</v>
      </c>
    </row>
    <row r="6" spans="1:10" x14ac:dyDescent="0.3">
      <c r="A6" s="2">
        <v>4</v>
      </c>
      <c r="B6" s="3">
        <v>40249</v>
      </c>
      <c r="C6" s="3" t="str">
        <f t="shared" si="0"/>
        <v>2010</v>
      </c>
      <c r="D6" s="2" t="s">
        <v>15</v>
      </c>
      <c r="E6" s="2">
        <v>48</v>
      </c>
      <c r="F6" s="4">
        <v>10560</v>
      </c>
    </row>
    <row r="7" spans="1:10" x14ac:dyDescent="0.3">
      <c r="A7" s="2">
        <v>5</v>
      </c>
      <c r="B7" s="3">
        <v>40418</v>
      </c>
      <c r="C7" s="3" t="str">
        <f t="shared" si="0"/>
        <v>2010</v>
      </c>
      <c r="D7" s="2" t="s">
        <v>11</v>
      </c>
      <c r="E7" s="2">
        <v>40</v>
      </c>
      <c r="F7" s="4">
        <v>8800</v>
      </c>
    </row>
    <row r="8" spans="1:10" ht="15" thickBot="1" x14ac:dyDescent="0.35">
      <c r="A8" s="2">
        <v>6</v>
      </c>
      <c r="B8" s="3">
        <v>40418</v>
      </c>
      <c r="C8" s="3" t="str">
        <f t="shared" si="0"/>
        <v>2010</v>
      </c>
      <c r="D8" s="2" t="s">
        <v>18</v>
      </c>
      <c r="E8" s="2">
        <v>90</v>
      </c>
      <c r="F8" s="4">
        <v>19800</v>
      </c>
    </row>
    <row r="9" spans="1:10" x14ac:dyDescent="0.3">
      <c r="A9" s="2">
        <v>7</v>
      </c>
      <c r="B9" s="3">
        <v>40464</v>
      </c>
      <c r="C9" s="3" t="str">
        <f t="shared" si="0"/>
        <v>2010</v>
      </c>
      <c r="D9" s="2" t="s">
        <v>15</v>
      </c>
      <c r="E9" s="2">
        <v>24</v>
      </c>
      <c r="F9" s="4">
        <v>5280</v>
      </c>
      <c r="H9" s="31" t="s">
        <v>8</v>
      </c>
      <c r="I9" s="32"/>
      <c r="J9" s="33"/>
    </row>
    <row r="10" spans="1:10" x14ac:dyDescent="0.3">
      <c r="A10" s="2">
        <v>8</v>
      </c>
      <c r="B10" s="3">
        <v>40505</v>
      </c>
      <c r="C10" s="3" t="str">
        <f t="shared" si="0"/>
        <v>2010</v>
      </c>
      <c r="D10" s="2" t="s">
        <v>15</v>
      </c>
      <c r="E10" s="2">
        <v>50</v>
      </c>
      <c r="F10" s="4">
        <v>11000</v>
      </c>
      <c r="H10" s="10"/>
      <c r="I10" s="11" t="s">
        <v>10</v>
      </c>
      <c r="J10" s="12" t="s">
        <v>6</v>
      </c>
    </row>
    <row r="11" spans="1:10" x14ac:dyDescent="0.3">
      <c r="A11" s="2">
        <v>9</v>
      </c>
      <c r="B11" s="3">
        <v>40505</v>
      </c>
      <c r="C11" s="3" t="str">
        <f t="shared" si="0"/>
        <v>2010</v>
      </c>
      <c r="D11" s="2" t="s">
        <v>11</v>
      </c>
      <c r="E11" s="2">
        <v>33</v>
      </c>
      <c r="F11" s="4">
        <v>7260</v>
      </c>
      <c r="H11" s="15" t="s">
        <v>14</v>
      </c>
      <c r="I11" s="13">
        <f>SUM(E2:E26)</f>
        <v>1224</v>
      </c>
      <c r="J11" s="16">
        <f>SUM(F2:F26)</f>
        <v>269280</v>
      </c>
    </row>
    <row r="12" spans="1:10" x14ac:dyDescent="0.3">
      <c r="A12" s="2">
        <v>10</v>
      </c>
      <c r="B12" s="3">
        <v>40611</v>
      </c>
      <c r="C12" s="3" t="str">
        <f t="shared" si="0"/>
        <v>2011</v>
      </c>
      <c r="D12" s="2" t="s">
        <v>18</v>
      </c>
      <c r="E12" s="2">
        <v>95</v>
      </c>
      <c r="F12" s="4">
        <v>20900</v>
      </c>
      <c r="H12" s="15" t="s">
        <v>16</v>
      </c>
      <c r="I12" s="13">
        <f>MIN(E2:E26)</f>
        <v>24</v>
      </c>
      <c r="J12" s="16">
        <f>MIN(F2:F26)</f>
        <v>5280</v>
      </c>
    </row>
    <row r="13" spans="1:10" x14ac:dyDescent="0.3">
      <c r="A13" s="2">
        <v>11</v>
      </c>
      <c r="B13" s="3">
        <v>40626</v>
      </c>
      <c r="C13" s="3" t="str">
        <f t="shared" si="0"/>
        <v>2011</v>
      </c>
      <c r="D13" s="2" t="s">
        <v>13</v>
      </c>
      <c r="E13" s="2">
        <v>57</v>
      </c>
      <c r="F13" s="4">
        <v>12540</v>
      </c>
      <c r="H13" s="15" t="s">
        <v>17</v>
      </c>
      <c r="I13" s="13">
        <f>MAX(E2:E26)</f>
        <v>95</v>
      </c>
      <c r="J13" s="16">
        <f>MAX(F2:F26)</f>
        <v>20900</v>
      </c>
    </row>
    <row r="14" spans="1:10" x14ac:dyDescent="0.3">
      <c r="A14" s="2">
        <v>12</v>
      </c>
      <c r="B14" s="3">
        <v>40693</v>
      </c>
      <c r="C14" s="3" t="str">
        <f t="shared" si="0"/>
        <v>2011</v>
      </c>
      <c r="D14" s="2" t="s">
        <v>13</v>
      </c>
      <c r="E14" s="2">
        <v>48</v>
      </c>
      <c r="F14" s="4">
        <v>10560</v>
      </c>
      <c r="H14" s="15" t="s">
        <v>19</v>
      </c>
      <c r="I14" s="13">
        <f>AVERAGE(E3:E26)</f>
        <v>51</v>
      </c>
      <c r="J14" s="16">
        <f>AVERAGE(F2:F26)</f>
        <v>11220</v>
      </c>
    </row>
    <row r="15" spans="1:10" x14ac:dyDescent="0.3">
      <c r="A15" s="2">
        <v>13</v>
      </c>
      <c r="B15" s="3">
        <v>40711</v>
      </c>
      <c r="C15" s="3" t="str">
        <f t="shared" si="0"/>
        <v>2011</v>
      </c>
      <c r="D15" s="2" t="s">
        <v>11</v>
      </c>
      <c r="E15" s="2">
        <v>88</v>
      </c>
      <c r="F15" s="4">
        <v>19360</v>
      </c>
      <c r="H15" s="15" t="s">
        <v>20</v>
      </c>
      <c r="I15" s="13">
        <f>COUNT(E2:E26)</f>
        <v>24</v>
      </c>
      <c r="J15" s="14">
        <f>COUNT(F2:F26)</f>
        <v>24</v>
      </c>
    </row>
    <row r="16" spans="1:10" ht="15" thickBot="1" x14ac:dyDescent="0.35">
      <c r="A16" s="2">
        <v>14</v>
      </c>
      <c r="B16" s="3">
        <v>40711</v>
      </c>
      <c r="C16" s="3" t="str">
        <f t="shared" si="0"/>
        <v>2011</v>
      </c>
      <c r="D16" s="2" t="s">
        <v>7</v>
      </c>
      <c r="E16" s="2">
        <v>28</v>
      </c>
      <c r="F16" s="4">
        <v>6160</v>
      </c>
      <c r="H16" s="18" t="s">
        <v>21</v>
      </c>
      <c r="I16" s="13">
        <f>COUNTA(E2:E26)</f>
        <v>25</v>
      </c>
      <c r="J16" s="19">
        <f>COUNTA(F2:F26)</f>
        <v>25</v>
      </c>
    </row>
    <row r="17" spans="1:6" x14ac:dyDescent="0.3">
      <c r="A17" s="2">
        <v>15</v>
      </c>
      <c r="B17" s="3">
        <v>40734</v>
      </c>
      <c r="C17" s="3" t="str">
        <f t="shared" si="0"/>
        <v>2011</v>
      </c>
      <c r="D17" s="2" t="s">
        <v>11</v>
      </c>
      <c r="E17" s="2">
        <v>64</v>
      </c>
      <c r="F17" s="4">
        <v>14080</v>
      </c>
    </row>
    <row r="18" spans="1:6" x14ac:dyDescent="0.3">
      <c r="A18" s="2">
        <v>16</v>
      </c>
      <c r="B18" s="3">
        <v>40953</v>
      </c>
      <c r="C18" s="3" t="str">
        <f t="shared" si="0"/>
        <v>2012</v>
      </c>
      <c r="D18" s="2" t="s">
        <v>13</v>
      </c>
      <c r="E18" s="2">
        <v>51</v>
      </c>
      <c r="F18" s="4">
        <v>11220</v>
      </c>
    </row>
    <row r="19" spans="1:6" x14ac:dyDescent="0.3">
      <c r="A19" s="2">
        <v>17</v>
      </c>
      <c r="B19" s="3">
        <v>40953</v>
      </c>
      <c r="C19" s="3" t="str">
        <f t="shared" si="0"/>
        <v>2012</v>
      </c>
      <c r="D19" s="2" t="s">
        <v>15</v>
      </c>
      <c r="E19" s="2">
        <v>25</v>
      </c>
      <c r="F19" s="4">
        <v>5500</v>
      </c>
    </row>
    <row r="20" spans="1:6" x14ac:dyDescent="0.3">
      <c r="A20" s="2">
        <v>18</v>
      </c>
      <c r="B20" s="3">
        <v>41014</v>
      </c>
      <c r="C20" s="3" t="str">
        <f t="shared" si="0"/>
        <v>2012</v>
      </c>
      <c r="D20" s="2" t="s">
        <v>11</v>
      </c>
      <c r="E20" s="2">
        <v>32</v>
      </c>
      <c r="F20" s="4">
        <v>7040</v>
      </c>
    </row>
    <row r="21" spans="1:6" x14ac:dyDescent="0.3">
      <c r="A21" s="2">
        <v>19</v>
      </c>
      <c r="B21" s="3">
        <v>41014</v>
      </c>
      <c r="C21" s="3" t="str">
        <f t="shared" si="0"/>
        <v>2012</v>
      </c>
      <c r="D21" s="2" t="s">
        <v>13</v>
      </c>
      <c r="E21" s="2">
        <v>24</v>
      </c>
      <c r="F21" s="4">
        <v>5280</v>
      </c>
    </row>
    <row r="22" spans="1:6" x14ac:dyDescent="0.3">
      <c r="A22" s="2">
        <v>20</v>
      </c>
      <c r="B22" s="3">
        <v>41068</v>
      </c>
      <c r="C22" s="3" t="str">
        <f t="shared" si="0"/>
        <v>2012</v>
      </c>
      <c r="D22" s="2" t="s">
        <v>15</v>
      </c>
      <c r="E22" s="2">
        <v>47</v>
      </c>
      <c r="F22" s="4">
        <v>10340</v>
      </c>
    </row>
    <row r="23" spans="1:6" x14ac:dyDescent="0.3">
      <c r="A23" s="2">
        <v>21</v>
      </c>
      <c r="B23" s="3">
        <v>41068</v>
      </c>
      <c r="C23" s="3" t="str">
        <f t="shared" si="0"/>
        <v>2012</v>
      </c>
      <c r="D23" s="2" t="s">
        <v>13</v>
      </c>
      <c r="E23" s="2">
        <v>41</v>
      </c>
      <c r="F23" s="4">
        <v>9020</v>
      </c>
    </row>
    <row r="24" spans="1:6" x14ac:dyDescent="0.3">
      <c r="A24" s="2">
        <v>22</v>
      </c>
      <c r="B24" s="3">
        <v>41125</v>
      </c>
      <c r="C24" s="3" t="str">
        <f t="shared" si="0"/>
        <v>2012</v>
      </c>
      <c r="D24" s="2" t="s">
        <v>18</v>
      </c>
      <c r="E24" s="2">
        <v>52</v>
      </c>
      <c r="F24" s="4">
        <v>11440</v>
      </c>
    </row>
    <row r="25" spans="1:6" x14ac:dyDescent="0.3">
      <c r="A25" s="2">
        <v>23</v>
      </c>
      <c r="B25" s="3">
        <v>41183</v>
      </c>
      <c r="C25" s="3" t="str">
        <f t="shared" si="0"/>
        <v>2012</v>
      </c>
      <c r="D25" s="2" t="s">
        <v>7</v>
      </c>
      <c r="E25" s="2">
        <v>36</v>
      </c>
      <c r="F25" s="4">
        <v>7920</v>
      </c>
    </row>
    <row r="26" spans="1:6" x14ac:dyDescent="0.3">
      <c r="A26" s="2">
        <v>24</v>
      </c>
      <c r="B26" s="3">
        <v>41183</v>
      </c>
      <c r="C26" s="3" t="str">
        <f t="shared" si="0"/>
        <v>2012</v>
      </c>
      <c r="D26" s="2" t="s">
        <v>11</v>
      </c>
      <c r="E26" s="2">
        <v>60</v>
      </c>
      <c r="F26" s="4">
        <v>13200</v>
      </c>
    </row>
  </sheetData>
  <mergeCells count="2">
    <mergeCell ref="H9:J9"/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A796F-D343-4438-8E88-113EB9904270}">
  <dimension ref="A1:L26"/>
  <sheetViews>
    <sheetView topLeftCell="F1" zoomScale="98" workbookViewId="0">
      <selection activeCell="H8" sqref="H8:L19"/>
    </sheetView>
  </sheetViews>
  <sheetFormatPr defaultRowHeight="14.4" x14ac:dyDescent="0.3"/>
  <cols>
    <col min="2" max="2" width="15.77734375" customWidth="1"/>
    <col min="4" max="4" width="14" customWidth="1"/>
    <col min="5" max="5" width="19.109375" customWidth="1"/>
    <col min="6" max="6" width="11.21875" customWidth="1"/>
    <col min="11" max="11" width="17.33203125" customWidth="1"/>
    <col min="12" max="12" width="20" customWidth="1"/>
  </cols>
  <sheetData>
    <row r="1" spans="1:12" ht="24.6" x14ac:dyDescent="0.4">
      <c r="A1" s="30" t="s">
        <v>0</v>
      </c>
      <c r="B1" s="30"/>
      <c r="C1" s="30"/>
      <c r="D1" s="30"/>
      <c r="E1" s="30"/>
      <c r="F1" s="30"/>
      <c r="H1" s="7"/>
      <c r="I1" s="8"/>
      <c r="J1" s="8"/>
      <c r="K1" s="9"/>
    </row>
    <row r="2" spans="1:12" ht="17.399999999999999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12" x14ac:dyDescent="0.3">
      <c r="A3" s="2">
        <v>1</v>
      </c>
      <c r="B3" s="3">
        <v>40221</v>
      </c>
      <c r="C3" s="3" t="str">
        <f t="shared" ref="C3:C26" si="0">TEXT(B3,"YYYY")</f>
        <v>2010</v>
      </c>
      <c r="D3" s="2" t="s">
        <v>7</v>
      </c>
      <c r="E3" s="2">
        <v>76</v>
      </c>
      <c r="F3" s="4">
        <v>16720</v>
      </c>
    </row>
    <row r="4" spans="1:12" x14ac:dyDescent="0.3">
      <c r="A4" s="2">
        <v>2</v>
      </c>
      <c r="B4" s="3">
        <v>40235</v>
      </c>
      <c r="C4" s="3" t="str">
        <f t="shared" si="0"/>
        <v>2010</v>
      </c>
      <c r="D4" s="2" t="s">
        <v>11</v>
      </c>
      <c r="E4" s="2">
        <v>59</v>
      </c>
      <c r="F4" s="4">
        <v>12980</v>
      </c>
    </row>
    <row r="5" spans="1:12" x14ac:dyDescent="0.3">
      <c r="A5" s="2">
        <v>3</v>
      </c>
      <c r="B5" s="3">
        <v>40249</v>
      </c>
      <c r="C5" s="3" t="str">
        <f t="shared" si="0"/>
        <v>2010</v>
      </c>
      <c r="D5" s="2" t="s">
        <v>13</v>
      </c>
      <c r="E5" s="2">
        <v>56</v>
      </c>
      <c r="F5" s="4">
        <v>12320</v>
      </c>
    </row>
    <row r="6" spans="1:12" x14ac:dyDescent="0.3">
      <c r="A6" s="2">
        <v>4</v>
      </c>
      <c r="B6" s="3">
        <v>40249</v>
      </c>
      <c r="C6" s="3" t="str">
        <f t="shared" si="0"/>
        <v>2010</v>
      </c>
      <c r="D6" s="2" t="s">
        <v>15</v>
      </c>
      <c r="E6" s="2">
        <v>48</v>
      </c>
      <c r="F6" s="4">
        <v>10560</v>
      </c>
    </row>
    <row r="7" spans="1:12" x14ac:dyDescent="0.3">
      <c r="A7" s="2">
        <v>5</v>
      </c>
      <c r="B7" s="3">
        <v>40418</v>
      </c>
      <c r="C7" s="3" t="str">
        <f t="shared" si="0"/>
        <v>2010</v>
      </c>
      <c r="D7" s="2" t="s">
        <v>11</v>
      </c>
      <c r="E7" s="2">
        <v>40</v>
      </c>
      <c r="F7" s="4">
        <v>8800</v>
      </c>
    </row>
    <row r="8" spans="1:12" x14ac:dyDescent="0.3">
      <c r="A8" s="2">
        <v>6</v>
      </c>
      <c r="B8" s="3">
        <v>40418</v>
      </c>
      <c r="C8" s="3" t="str">
        <f t="shared" si="0"/>
        <v>2010</v>
      </c>
      <c r="D8" s="2" t="s">
        <v>18</v>
      </c>
      <c r="E8" s="2">
        <v>90</v>
      </c>
      <c r="F8" s="4">
        <v>19800</v>
      </c>
    </row>
    <row r="9" spans="1:12" ht="15" thickBot="1" x14ac:dyDescent="0.35">
      <c r="A9" s="2">
        <v>7</v>
      </c>
      <c r="B9" s="3">
        <v>40464</v>
      </c>
      <c r="C9" s="3" t="str">
        <f t="shared" si="0"/>
        <v>2010</v>
      </c>
      <c r="D9" s="2" t="s">
        <v>15</v>
      </c>
      <c r="E9" s="2">
        <v>24</v>
      </c>
      <c r="F9" s="4">
        <v>5280</v>
      </c>
    </row>
    <row r="10" spans="1:12" x14ac:dyDescent="0.3">
      <c r="A10" s="2">
        <v>8</v>
      </c>
      <c r="B10" s="3">
        <v>40505</v>
      </c>
      <c r="C10" s="3" t="str">
        <f t="shared" si="0"/>
        <v>2010</v>
      </c>
      <c r="D10" s="2" t="s">
        <v>15</v>
      </c>
      <c r="E10" s="2">
        <v>50</v>
      </c>
      <c r="F10" s="4">
        <v>11000</v>
      </c>
      <c r="I10" s="7"/>
      <c r="J10" s="8" t="s">
        <v>9</v>
      </c>
      <c r="K10" s="8" t="s">
        <v>10</v>
      </c>
      <c r="L10" s="9" t="s">
        <v>6</v>
      </c>
    </row>
    <row r="11" spans="1:12" x14ac:dyDescent="0.3">
      <c r="A11" s="2">
        <v>9</v>
      </c>
      <c r="B11" s="3">
        <v>40505</v>
      </c>
      <c r="C11" s="3" t="str">
        <f t="shared" si="0"/>
        <v>2010</v>
      </c>
      <c r="D11" s="2" t="s">
        <v>11</v>
      </c>
      <c r="E11" s="2">
        <v>33</v>
      </c>
      <c r="F11" s="4">
        <v>7260</v>
      </c>
      <c r="I11" s="34" t="s">
        <v>23</v>
      </c>
      <c r="J11" s="13" t="s">
        <v>13</v>
      </c>
      <c r="K11" s="13">
        <f>SUMIF(D2:D26,"Abdul",E2:E26)</f>
        <v>277</v>
      </c>
      <c r="L11" s="39">
        <f>SUMIF(D2:D27,"Abdul",F2:F27)</f>
        <v>60940</v>
      </c>
    </row>
    <row r="12" spans="1:12" x14ac:dyDescent="0.3">
      <c r="A12" s="2">
        <v>10</v>
      </c>
      <c r="B12" s="3">
        <v>40611</v>
      </c>
      <c r="C12" s="3" t="str">
        <f t="shared" si="0"/>
        <v>2011</v>
      </c>
      <c r="D12" s="2" t="s">
        <v>18</v>
      </c>
      <c r="E12" s="2">
        <v>95</v>
      </c>
      <c r="F12" s="4">
        <v>20900</v>
      </c>
      <c r="I12" s="35"/>
      <c r="J12" s="13" t="s">
        <v>7</v>
      </c>
      <c r="K12" s="13">
        <f>SUMIF(D2:D26,"Ayo",E2:E26)</f>
        <v>140</v>
      </c>
      <c r="L12" s="39">
        <f>SUMIF(D2:D27,"Ayo",F2:F27)</f>
        <v>30800</v>
      </c>
    </row>
    <row r="13" spans="1:12" x14ac:dyDescent="0.3">
      <c r="A13" s="2">
        <v>11</v>
      </c>
      <c r="B13" s="3">
        <v>40626</v>
      </c>
      <c r="C13" s="3" t="str">
        <f t="shared" si="0"/>
        <v>2011</v>
      </c>
      <c r="D13" s="2" t="s">
        <v>13</v>
      </c>
      <c r="E13" s="2">
        <v>57</v>
      </c>
      <c r="F13" s="4">
        <v>12540</v>
      </c>
      <c r="I13" s="35"/>
      <c r="J13" s="13" t="s">
        <v>15</v>
      </c>
      <c r="K13" s="13">
        <f>SUMIF(D2:D26,"Ada",E2:E26)</f>
        <v>194</v>
      </c>
      <c r="L13" s="39">
        <f>SUMIF(D2:D28,"Ada",F2:F28)</f>
        <v>42680</v>
      </c>
    </row>
    <row r="14" spans="1:12" x14ac:dyDescent="0.3">
      <c r="A14" s="2">
        <v>12</v>
      </c>
      <c r="B14" s="3">
        <v>40693</v>
      </c>
      <c r="C14" s="3" t="str">
        <f t="shared" si="0"/>
        <v>2011</v>
      </c>
      <c r="D14" s="2" t="s">
        <v>13</v>
      </c>
      <c r="E14" s="2">
        <v>48</v>
      </c>
      <c r="F14" s="4">
        <v>10560</v>
      </c>
      <c r="I14" s="35"/>
      <c r="J14" s="13" t="s">
        <v>18</v>
      </c>
      <c r="K14" s="13">
        <f>SUMIF(D2:D26,"Ese",E2:E26)</f>
        <v>237</v>
      </c>
      <c r="L14" s="39">
        <f>SUMIF(D2:D26,"Ese",F2:F26)</f>
        <v>52140</v>
      </c>
    </row>
    <row r="15" spans="1:12" ht="15" thickBot="1" x14ac:dyDescent="0.35">
      <c r="A15" s="2">
        <v>13</v>
      </c>
      <c r="B15" s="3">
        <v>40711</v>
      </c>
      <c r="C15" s="3" t="str">
        <f t="shared" si="0"/>
        <v>2011</v>
      </c>
      <c r="D15" s="2" t="s">
        <v>11</v>
      </c>
      <c r="E15" s="2">
        <v>88</v>
      </c>
      <c r="F15" s="4">
        <v>19360</v>
      </c>
      <c r="I15" s="36"/>
      <c r="J15" s="17" t="s">
        <v>11</v>
      </c>
      <c r="K15" s="13">
        <f>SUMIF(D2:D26,"Tola",E2:E26)</f>
        <v>376</v>
      </c>
      <c r="L15" s="39">
        <f>SUMIF(D2:D30,"Tola",F2:F30)</f>
        <v>82720</v>
      </c>
    </row>
    <row r="16" spans="1:12" x14ac:dyDescent="0.3">
      <c r="A16" s="2">
        <v>14</v>
      </c>
      <c r="B16" s="3">
        <v>40711</v>
      </c>
      <c r="C16" s="3" t="str">
        <f t="shared" si="0"/>
        <v>2011</v>
      </c>
      <c r="D16" s="2" t="s">
        <v>7</v>
      </c>
      <c r="E16" s="2">
        <v>28</v>
      </c>
      <c r="F16" s="4">
        <v>6160</v>
      </c>
    </row>
    <row r="17" spans="1:6" x14ac:dyDescent="0.3">
      <c r="A17" s="2">
        <v>15</v>
      </c>
      <c r="B17" s="3">
        <v>40734</v>
      </c>
      <c r="C17" s="3" t="str">
        <f t="shared" si="0"/>
        <v>2011</v>
      </c>
      <c r="D17" s="2" t="s">
        <v>11</v>
      </c>
      <c r="E17" s="2">
        <v>64</v>
      </c>
      <c r="F17" s="4">
        <v>14080</v>
      </c>
    </row>
    <row r="18" spans="1:6" x14ac:dyDescent="0.3">
      <c r="A18" s="2">
        <v>16</v>
      </c>
      <c r="B18" s="3">
        <v>40953</v>
      </c>
      <c r="C18" s="3" t="str">
        <f t="shared" si="0"/>
        <v>2012</v>
      </c>
      <c r="D18" s="2" t="s">
        <v>13</v>
      </c>
      <c r="E18" s="2">
        <v>51</v>
      </c>
      <c r="F18" s="4">
        <v>11220</v>
      </c>
    </row>
    <row r="19" spans="1:6" x14ac:dyDescent="0.3">
      <c r="A19" s="2">
        <v>17</v>
      </c>
      <c r="B19" s="3">
        <v>40953</v>
      </c>
      <c r="C19" s="3" t="str">
        <f t="shared" si="0"/>
        <v>2012</v>
      </c>
      <c r="D19" s="2" t="s">
        <v>15</v>
      </c>
      <c r="E19" s="2">
        <v>25</v>
      </c>
      <c r="F19" s="4">
        <v>5500</v>
      </c>
    </row>
    <row r="20" spans="1:6" x14ac:dyDescent="0.3">
      <c r="A20" s="2">
        <v>18</v>
      </c>
      <c r="B20" s="3">
        <v>41014</v>
      </c>
      <c r="C20" s="3" t="str">
        <f t="shared" si="0"/>
        <v>2012</v>
      </c>
      <c r="D20" s="2" t="s">
        <v>11</v>
      </c>
      <c r="E20" s="2">
        <v>32</v>
      </c>
      <c r="F20" s="4">
        <v>7040</v>
      </c>
    </row>
    <row r="21" spans="1:6" x14ac:dyDescent="0.3">
      <c r="A21" s="2">
        <v>19</v>
      </c>
      <c r="B21" s="3">
        <v>41014</v>
      </c>
      <c r="C21" s="3" t="str">
        <f t="shared" si="0"/>
        <v>2012</v>
      </c>
      <c r="D21" s="2" t="s">
        <v>13</v>
      </c>
      <c r="E21" s="2">
        <v>24</v>
      </c>
      <c r="F21" s="4">
        <v>5280</v>
      </c>
    </row>
    <row r="22" spans="1:6" x14ac:dyDescent="0.3">
      <c r="A22" s="2">
        <v>20</v>
      </c>
      <c r="B22" s="3">
        <v>41068</v>
      </c>
      <c r="C22" s="3" t="str">
        <f t="shared" si="0"/>
        <v>2012</v>
      </c>
      <c r="D22" s="2" t="s">
        <v>15</v>
      </c>
      <c r="E22" s="2">
        <v>47</v>
      </c>
      <c r="F22" s="4">
        <v>10340</v>
      </c>
    </row>
    <row r="23" spans="1:6" x14ac:dyDescent="0.3">
      <c r="A23" s="2">
        <v>21</v>
      </c>
      <c r="B23" s="3">
        <v>41068</v>
      </c>
      <c r="C23" s="3" t="str">
        <f t="shared" si="0"/>
        <v>2012</v>
      </c>
      <c r="D23" s="2" t="s">
        <v>13</v>
      </c>
      <c r="E23" s="2">
        <v>41</v>
      </c>
      <c r="F23" s="4">
        <v>9020</v>
      </c>
    </row>
    <row r="24" spans="1:6" x14ac:dyDescent="0.3">
      <c r="A24" s="2">
        <v>22</v>
      </c>
      <c r="B24" s="3">
        <v>41125</v>
      </c>
      <c r="C24" s="3" t="str">
        <f t="shared" si="0"/>
        <v>2012</v>
      </c>
      <c r="D24" s="2" t="s">
        <v>18</v>
      </c>
      <c r="E24" s="2">
        <v>52</v>
      </c>
      <c r="F24" s="4">
        <v>11440</v>
      </c>
    </row>
    <row r="25" spans="1:6" x14ac:dyDescent="0.3">
      <c r="A25" s="2">
        <v>23</v>
      </c>
      <c r="B25" s="3">
        <v>41183</v>
      </c>
      <c r="C25" s="3" t="str">
        <f t="shared" si="0"/>
        <v>2012</v>
      </c>
      <c r="D25" s="2" t="s">
        <v>7</v>
      </c>
      <c r="E25" s="2">
        <v>36</v>
      </c>
      <c r="F25" s="4">
        <v>7920</v>
      </c>
    </row>
    <row r="26" spans="1:6" x14ac:dyDescent="0.3">
      <c r="A26" s="2">
        <v>24</v>
      </c>
      <c r="B26" s="3">
        <v>41183</v>
      </c>
      <c r="C26" s="3" t="str">
        <f t="shared" si="0"/>
        <v>2012</v>
      </c>
      <c r="D26" s="2" t="s">
        <v>11</v>
      </c>
      <c r="E26" s="2">
        <v>60</v>
      </c>
      <c r="F26" s="4">
        <v>13200</v>
      </c>
    </row>
  </sheetData>
  <mergeCells count="2">
    <mergeCell ref="A1:F1"/>
    <mergeCell ref="I11:I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D5AB2-2CA7-4005-96E0-3B88D017B60B}">
  <dimension ref="A1:L26"/>
  <sheetViews>
    <sheetView topLeftCell="E1" workbookViewId="0">
      <selection activeCell="L8" sqref="L8"/>
    </sheetView>
  </sheetViews>
  <sheetFormatPr defaultRowHeight="14.4" x14ac:dyDescent="0.3"/>
  <cols>
    <col min="2" max="2" width="14.109375" customWidth="1"/>
    <col min="5" max="5" width="26.77734375" customWidth="1"/>
    <col min="6" max="6" width="17.21875" customWidth="1"/>
    <col min="11" max="11" width="17.21875" customWidth="1"/>
    <col min="12" max="12" width="19.21875" customWidth="1"/>
  </cols>
  <sheetData>
    <row r="1" spans="1:12" ht="24.6" x14ac:dyDescent="0.4">
      <c r="A1" s="30" t="s">
        <v>0</v>
      </c>
      <c r="B1" s="30"/>
      <c r="C1" s="30"/>
      <c r="D1" s="30"/>
      <c r="E1" s="30"/>
      <c r="F1" s="30"/>
    </row>
    <row r="2" spans="1:12" ht="17.399999999999999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12" x14ac:dyDescent="0.3">
      <c r="A3" s="2">
        <v>1</v>
      </c>
      <c r="B3" s="3">
        <v>40221</v>
      </c>
      <c r="C3" s="3" t="str">
        <f t="shared" ref="C3:C26" si="0">TEXT(B3,"YYYY")</f>
        <v>2010</v>
      </c>
      <c r="D3" s="2" t="s">
        <v>7</v>
      </c>
      <c r="E3" s="2">
        <v>76</v>
      </c>
      <c r="F3" s="4">
        <v>16720</v>
      </c>
    </row>
    <row r="4" spans="1:12" x14ac:dyDescent="0.3">
      <c r="A4" s="2">
        <v>2</v>
      </c>
      <c r="B4" s="3">
        <v>40235</v>
      </c>
      <c r="C4" s="3" t="str">
        <f t="shared" si="0"/>
        <v>2010</v>
      </c>
      <c r="D4" s="2" t="s">
        <v>11</v>
      </c>
      <c r="E4" s="2">
        <v>59</v>
      </c>
      <c r="F4" s="4">
        <v>12980</v>
      </c>
    </row>
    <row r="5" spans="1:12" x14ac:dyDescent="0.3">
      <c r="A5" s="2">
        <v>3</v>
      </c>
      <c r="B5" s="3">
        <v>40249</v>
      </c>
      <c r="C5" s="3" t="str">
        <f t="shared" si="0"/>
        <v>2010</v>
      </c>
      <c r="D5" s="2" t="s">
        <v>13</v>
      </c>
      <c r="E5" s="2">
        <v>56</v>
      </c>
      <c r="F5" s="4">
        <v>12320</v>
      </c>
    </row>
    <row r="6" spans="1:12" ht="15" thickBot="1" x14ac:dyDescent="0.35">
      <c r="A6" s="2">
        <v>4</v>
      </c>
      <c r="B6" s="3">
        <v>40249</v>
      </c>
      <c r="C6" s="3" t="str">
        <f t="shared" si="0"/>
        <v>2010</v>
      </c>
      <c r="D6" s="2" t="s">
        <v>15</v>
      </c>
      <c r="E6" s="2">
        <v>48</v>
      </c>
      <c r="F6" s="4">
        <v>10560</v>
      </c>
    </row>
    <row r="7" spans="1:12" x14ac:dyDescent="0.3">
      <c r="A7" s="2">
        <v>5</v>
      </c>
      <c r="B7" s="3">
        <v>40418</v>
      </c>
      <c r="C7" s="3" t="str">
        <f t="shared" si="0"/>
        <v>2010</v>
      </c>
      <c r="D7" s="2" t="s">
        <v>11</v>
      </c>
      <c r="E7" s="2">
        <v>40</v>
      </c>
      <c r="F7" s="4">
        <v>8800</v>
      </c>
      <c r="J7" s="7"/>
      <c r="K7" s="8" t="s">
        <v>9</v>
      </c>
      <c r="L7" s="9" t="s">
        <v>10</v>
      </c>
    </row>
    <row r="8" spans="1:12" x14ac:dyDescent="0.3">
      <c r="A8" s="2">
        <v>6</v>
      </c>
      <c r="B8" s="3">
        <v>40418</v>
      </c>
      <c r="C8" s="3" t="str">
        <f t="shared" si="0"/>
        <v>2010</v>
      </c>
      <c r="D8" s="2" t="s">
        <v>18</v>
      </c>
      <c r="E8" s="2">
        <v>90</v>
      </c>
      <c r="F8" s="4">
        <v>19800</v>
      </c>
      <c r="J8" s="34" t="s">
        <v>12</v>
      </c>
      <c r="K8" s="13" t="s">
        <v>13</v>
      </c>
      <c r="L8" s="14">
        <f>COUNTIF(D2:D26,"Abdul")</f>
        <v>6</v>
      </c>
    </row>
    <row r="9" spans="1:12" x14ac:dyDescent="0.3">
      <c r="A9" s="2">
        <v>7</v>
      </c>
      <c r="B9" s="3">
        <v>40464</v>
      </c>
      <c r="C9" s="3" t="str">
        <f t="shared" si="0"/>
        <v>2010</v>
      </c>
      <c r="D9" s="2" t="s">
        <v>15</v>
      </c>
      <c r="E9" s="2">
        <v>24</v>
      </c>
      <c r="F9" s="4">
        <v>5280</v>
      </c>
      <c r="J9" s="35"/>
      <c r="K9" s="13" t="s">
        <v>7</v>
      </c>
      <c r="L9" s="14">
        <f>COUNTIF(D2:D26,"Ayo")</f>
        <v>3</v>
      </c>
    </row>
    <row r="10" spans="1:12" x14ac:dyDescent="0.3">
      <c r="A10" s="2">
        <v>8</v>
      </c>
      <c r="B10" s="3">
        <v>40505</v>
      </c>
      <c r="C10" s="3" t="str">
        <f t="shared" si="0"/>
        <v>2010</v>
      </c>
      <c r="D10" s="2" t="s">
        <v>15</v>
      </c>
      <c r="E10" s="2">
        <v>50</v>
      </c>
      <c r="F10" s="4">
        <v>11000</v>
      </c>
      <c r="J10" s="35"/>
      <c r="K10" s="13" t="s">
        <v>15</v>
      </c>
      <c r="L10" s="14">
        <f>COUNTIF(D2:D26,"Ada")</f>
        <v>5</v>
      </c>
    </row>
    <row r="11" spans="1:12" x14ac:dyDescent="0.3">
      <c r="A11" s="2">
        <v>9</v>
      </c>
      <c r="B11" s="3">
        <v>40505</v>
      </c>
      <c r="C11" s="3" t="str">
        <f t="shared" si="0"/>
        <v>2010</v>
      </c>
      <c r="D11" s="2" t="s">
        <v>11</v>
      </c>
      <c r="E11" s="2">
        <v>33</v>
      </c>
      <c r="F11" s="4">
        <v>7260</v>
      </c>
      <c r="J11" s="35"/>
      <c r="K11" s="13" t="s">
        <v>18</v>
      </c>
      <c r="L11" s="14">
        <f>COUNTIF(D2:D26,"Ese")</f>
        <v>3</v>
      </c>
    </row>
    <row r="12" spans="1:12" ht="15" thickBot="1" x14ac:dyDescent="0.35">
      <c r="A12" s="2">
        <v>10</v>
      </c>
      <c r="B12" s="3">
        <v>40611</v>
      </c>
      <c r="C12" s="3" t="str">
        <f t="shared" si="0"/>
        <v>2011</v>
      </c>
      <c r="D12" s="2" t="s">
        <v>18</v>
      </c>
      <c r="E12" s="2">
        <v>95</v>
      </c>
      <c r="F12" s="4">
        <v>20900</v>
      </c>
      <c r="J12" s="36"/>
      <c r="K12" s="17" t="s">
        <v>11</v>
      </c>
      <c r="L12" s="14">
        <f>COUNTIF(D2:D26,"Tola")</f>
        <v>7</v>
      </c>
    </row>
    <row r="13" spans="1:12" x14ac:dyDescent="0.3">
      <c r="A13" s="2">
        <v>11</v>
      </c>
      <c r="B13" s="3">
        <v>40626</v>
      </c>
      <c r="C13" s="3" t="str">
        <f t="shared" si="0"/>
        <v>2011</v>
      </c>
      <c r="D13" s="2" t="s">
        <v>13</v>
      </c>
      <c r="E13" s="2">
        <v>57</v>
      </c>
      <c r="F13" s="4">
        <v>12540</v>
      </c>
    </row>
    <row r="14" spans="1:12" x14ac:dyDescent="0.3">
      <c r="A14" s="2">
        <v>12</v>
      </c>
      <c r="B14" s="3">
        <v>40693</v>
      </c>
      <c r="C14" s="3" t="str">
        <f t="shared" si="0"/>
        <v>2011</v>
      </c>
      <c r="D14" s="2" t="s">
        <v>13</v>
      </c>
      <c r="E14" s="2">
        <v>48</v>
      </c>
      <c r="F14" s="4">
        <v>10560</v>
      </c>
    </row>
    <row r="15" spans="1:12" x14ac:dyDescent="0.3">
      <c r="A15" s="2">
        <v>13</v>
      </c>
      <c r="B15" s="3">
        <v>40711</v>
      </c>
      <c r="C15" s="3" t="str">
        <f t="shared" si="0"/>
        <v>2011</v>
      </c>
      <c r="D15" s="2" t="s">
        <v>11</v>
      </c>
      <c r="E15" s="2">
        <v>88</v>
      </c>
      <c r="F15" s="4">
        <v>19360</v>
      </c>
    </row>
    <row r="16" spans="1:12" x14ac:dyDescent="0.3">
      <c r="A16" s="2">
        <v>14</v>
      </c>
      <c r="B16" s="3">
        <v>40711</v>
      </c>
      <c r="C16" s="3" t="str">
        <f t="shared" si="0"/>
        <v>2011</v>
      </c>
      <c r="D16" s="2" t="s">
        <v>7</v>
      </c>
      <c r="E16" s="2">
        <v>28</v>
      </c>
      <c r="F16" s="4">
        <v>6160</v>
      </c>
    </row>
    <row r="17" spans="1:6" x14ac:dyDescent="0.3">
      <c r="A17" s="2">
        <v>15</v>
      </c>
      <c r="B17" s="3">
        <v>40734</v>
      </c>
      <c r="C17" s="3" t="str">
        <f t="shared" si="0"/>
        <v>2011</v>
      </c>
      <c r="D17" s="2" t="s">
        <v>11</v>
      </c>
      <c r="E17" s="2">
        <v>64</v>
      </c>
      <c r="F17" s="4">
        <v>14080</v>
      </c>
    </row>
    <row r="18" spans="1:6" x14ac:dyDescent="0.3">
      <c r="A18" s="2">
        <v>16</v>
      </c>
      <c r="B18" s="3">
        <v>40953</v>
      </c>
      <c r="C18" s="3" t="str">
        <f t="shared" si="0"/>
        <v>2012</v>
      </c>
      <c r="D18" s="2" t="s">
        <v>13</v>
      </c>
      <c r="E18" s="2">
        <v>51</v>
      </c>
      <c r="F18" s="4">
        <v>11220</v>
      </c>
    </row>
    <row r="19" spans="1:6" x14ac:dyDescent="0.3">
      <c r="A19" s="2">
        <v>17</v>
      </c>
      <c r="B19" s="3">
        <v>40953</v>
      </c>
      <c r="C19" s="3" t="str">
        <f t="shared" si="0"/>
        <v>2012</v>
      </c>
      <c r="D19" s="2" t="s">
        <v>15</v>
      </c>
      <c r="E19" s="2">
        <v>25</v>
      </c>
      <c r="F19" s="4">
        <v>5500</v>
      </c>
    </row>
    <row r="20" spans="1:6" x14ac:dyDescent="0.3">
      <c r="A20" s="2">
        <v>18</v>
      </c>
      <c r="B20" s="3">
        <v>41014</v>
      </c>
      <c r="C20" s="3" t="str">
        <f t="shared" si="0"/>
        <v>2012</v>
      </c>
      <c r="D20" s="2" t="s">
        <v>11</v>
      </c>
      <c r="E20" s="2">
        <v>32</v>
      </c>
      <c r="F20" s="4">
        <v>7040</v>
      </c>
    </row>
    <row r="21" spans="1:6" x14ac:dyDescent="0.3">
      <c r="A21" s="2">
        <v>19</v>
      </c>
      <c r="B21" s="3">
        <v>41014</v>
      </c>
      <c r="C21" s="3" t="str">
        <f t="shared" si="0"/>
        <v>2012</v>
      </c>
      <c r="D21" s="2" t="s">
        <v>13</v>
      </c>
      <c r="E21" s="2">
        <v>24</v>
      </c>
      <c r="F21" s="4">
        <v>5280</v>
      </c>
    </row>
    <row r="22" spans="1:6" x14ac:dyDescent="0.3">
      <c r="A22" s="2">
        <v>20</v>
      </c>
      <c r="B22" s="3">
        <v>41068</v>
      </c>
      <c r="C22" s="3" t="str">
        <f t="shared" si="0"/>
        <v>2012</v>
      </c>
      <c r="D22" s="2" t="s">
        <v>15</v>
      </c>
      <c r="E22" s="2">
        <v>47</v>
      </c>
      <c r="F22" s="4">
        <v>10340</v>
      </c>
    </row>
    <row r="23" spans="1:6" x14ac:dyDescent="0.3">
      <c r="A23" s="2">
        <v>21</v>
      </c>
      <c r="B23" s="3">
        <v>41068</v>
      </c>
      <c r="C23" s="3" t="str">
        <f t="shared" si="0"/>
        <v>2012</v>
      </c>
      <c r="D23" s="2" t="s">
        <v>13</v>
      </c>
      <c r="E23" s="2">
        <v>41</v>
      </c>
      <c r="F23" s="4">
        <v>9020</v>
      </c>
    </row>
    <row r="24" spans="1:6" x14ac:dyDescent="0.3">
      <c r="A24" s="2">
        <v>22</v>
      </c>
      <c r="B24" s="3">
        <v>41125</v>
      </c>
      <c r="C24" s="3" t="str">
        <f t="shared" si="0"/>
        <v>2012</v>
      </c>
      <c r="D24" s="2" t="s">
        <v>18</v>
      </c>
      <c r="E24" s="2">
        <v>52</v>
      </c>
      <c r="F24" s="4">
        <v>11440</v>
      </c>
    </row>
    <row r="25" spans="1:6" x14ac:dyDescent="0.3">
      <c r="A25" s="2">
        <v>23</v>
      </c>
      <c r="B25" s="3">
        <v>41183</v>
      </c>
      <c r="C25" s="3" t="str">
        <f t="shared" si="0"/>
        <v>2012</v>
      </c>
      <c r="D25" s="2" t="s">
        <v>7</v>
      </c>
      <c r="E25" s="2">
        <v>36</v>
      </c>
      <c r="F25" s="4">
        <v>7920</v>
      </c>
    </row>
    <row r="26" spans="1:6" x14ac:dyDescent="0.3">
      <c r="A26" s="2">
        <v>24</v>
      </c>
      <c r="B26" s="3">
        <v>41183</v>
      </c>
      <c r="C26" s="3" t="str">
        <f t="shared" si="0"/>
        <v>2012</v>
      </c>
      <c r="D26" s="2" t="s">
        <v>11</v>
      </c>
      <c r="E26" s="2">
        <v>60</v>
      </c>
      <c r="F26" s="4">
        <v>13200</v>
      </c>
    </row>
  </sheetData>
  <mergeCells count="2">
    <mergeCell ref="A1:F1"/>
    <mergeCell ref="J8:J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 quantity sold by years</vt:lpstr>
      <vt:lpstr>Sum of sales by years</vt:lpstr>
      <vt:lpstr>Functions</vt:lpstr>
      <vt:lpstr>Finacial contribution</vt:lpstr>
      <vt:lpstr>representative activity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Ayomide</dc:creator>
  <cp:lastModifiedBy>Alaka Ibrahim</cp:lastModifiedBy>
  <dcterms:created xsi:type="dcterms:W3CDTF">2024-05-08T21:08:42Z</dcterms:created>
  <dcterms:modified xsi:type="dcterms:W3CDTF">2026-05-02T08:01:18Z</dcterms:modified>
</cp:coreProperties>
</file>